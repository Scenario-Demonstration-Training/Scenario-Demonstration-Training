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michael_chittenden_justit_co_uk/Documents/_ScenarioDemonstrationTraining/Session 1/Data Sources/Results/"/>
    </mc:Choice>
  </mc:AlternateContent>
  <xr:revisionPtr revIDLastSave="0" documentId="8_{BDEAA469-897F-4F6A-AD9B-62BF037BE10D}" xr6:coauthVersionLast="47" xr6:coauthVersionMax="47" xr10:uidLastSave="{00000000-0000-0000-0000-000000000000}"/>
  <bookViews>
    <workbookView xWindow="-120" yWindow="-120" windowWidth="29040" windowHeight="15720" activeTab="3" xr2:uid="{9BB4D2A1-FDFC-4D4B-95EB-21AD45D4BCEB}"/>
  </bookViews>
  <sheets>
    <sheet name="patient_outcome" sheetId="4" r:id="rId1"/>
    <sheet name="patient_attendance" sheetId="3" r:id="rId2"/>
    <sheet name="Appointments" sheetId="2" r:id="rId3"/>
    <sheet name="DETAILS" sheetId="7" r:id="rId4"/>
    <sheet name="Sheet1" sheetId="1" r:id="rId5"/>
  </sheets>
  <definedNames>
    <definedName name="ExternalData_1" localSheetId="2" hidden="1">Appointments!$A$1:$C$36</definedName>
    <definedName name="ExternalData_1" localSheetId="3" hidden="1">DETAILS!$A$1:$G$36</definedName>
    <definedName name="ExternalData_2" localSheetId="1" hidden="1">patient_attendance!$A$1:$E$36</definedName>
    <definedName name="ExternalData_3" localSheetId="0" hidden="1">patient_outcome!$A$1:$C$36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7" l="1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91ED7E-002C-466D-973E-00C0CE083BD6}" keepAlive="1" name="Query - Appointments" description="Connection to the 'Appointments' query in the workbook." type="5" refreshedVersion="8" background="1" saveData="1">
    <dbPr connection="Provider=Microsoft.Mashup.OleDb.1;Data Source=$Workbook$;Location=Appointments;Extended Properties=&quot;&quot;" command="SELECT * FROM [Appointments]"/>
  </connection>
  <connection id="2" xr16:uid="{7D5D7841-AC0F-4ACB-9A35-739759245B5D}" keepAlive="1" name="Query - messy_patient_details" description="Connection to the 'messy_patient_details' query in the workbook." type="5" refreshedVersion="8" background="1" saveData="1">
    <dbPr connection="Provider=Microsoft.Mashup.OleDb.1;Data Source=$Workbook$;Location=messy_patient_details;Extended Properties=&quot;&quot;" command="SELECT * FROM [messy_patient_details]"/>
  </connection>
  <connection id="3" xr16:uid="{4B46AEE4-DC42-48D9-8CD8-9CF74E8B065B}" keepAlive="1" name="Query - patient_attendance" description="Connection to the 'patient_attendance' query in the workbook." type="5" refreshedVersion="8" background="1" saveData="1">
    <dbPr connection="Provider=Microsoft.Mashup.OleDb.1;Data Source=$Workbook$;Location=patient_attendance;Extended Properties=&quot;&quot;" command="SELECT * FROM [patient_attendance]"/>
  </connection>
  <connection id="4" xr16:uid="{A60F9EF2-E07D-4258-8F6B-A7D9FDCE3CE4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5" xr16:uid="{BC629B02-D393-4D66-BC1A-EF202937FE2C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<sst xmlns="http://schemas.openxmlformats.org/spreadsheetml/2006/main" count="515" uniqueCount="170">
  <si>
    <t>Patient_ID</t>
  </si>
  <si>
    <t>Appointment_Count</t>
  </si>
  <si>
    <t>Did_Not_Attend</t>
  </si>
  <si>
    <t>PT1001</t>
  </si>
  <si>
    <t>No</t>
  </si>
  <si>
    <t>PT1002</t>
  </si>
  <si>
    <t>PT1003</t>
  </si>
  <si>
    <t>PT1004</t>
  </si>
  <si>
    <t>PT1005</t>
  </si>
  <si>
    <t>PT1006</t>
  </si>
  <si>
    <t>PT1007</t>
  </si>
  <si>
    <t>Yes</t>
  </si>
  <si>
    <t>PT1008</t>
  </si>
  <si>
    <t>PT1009</t>
  </si>
  <si>
    <t>PT1010</t>
  </si>
  <si>
    <t>PT1011</t>
  </si>
  <si>
    <t>PT1012</t>
  </si>
  <si>
    <t>PT1013</t>
  </si>
  <si>
    <t>PT1014</t>
  </si>
  <si>
    <t>PT1015</t>
  </si>
  <si>
    <t>PT1016</t>
  </si>
  <si>
    <t>PT1017</t>
  </si>
  <si>
    <t>PT1018</t>
  </si>
  <si>
    <t>PT1019</t>
  </si>
  <si>
    <t>PT1020</t>
  </si>
  <si>
    <t>PT1021</t>
  </si>
  <si>
    <t>PT1022</t>
  </si>
  <si>
    <t>PT1023</t>
  </si>
  <si>
    <t>PT1024</t>
  </si>
  <si>
    <t>PT1025</t>
  </si>
  <si>
    <t>PT1026</t>
  </si>
  <si>
    <t>PT1027</t>
  </si>
  <si>
    <t>PT1028</t>
  </si>
  <si>
    <t>PT1029</t>
  </si>
  <si>
    <t>PT1030</t>
  </si>
  <si>
    <t>PT1031</t>
  </si>
  <si>
    <t>PT1032</t>
  </si>
  <si>
    <t>PT1033</t>
  </si>
  <si>
    <t>PT1034</t>
  </si>
  <si>
    <t>PT1035</t>
  </si>
  <si>
    <t>Patient_Name</t>
  </si>
  <si>
    <t>Department</t>
  </si>
  <si>
    <t>Year</t>
  </si>
  <si>
    <t>Month</t>
  </si>
  <si>
    <t>Patient 1</t>
  </si>
  <si>
    <t>Cardiology</t>
  </si>
  <si>
    <t>Patient 2</t>
  </si>
  <si>
    <t>Patient 3</t>
  </si>
  <si>
    <t>Patient 4</t>
  </si>
  <si>
    <t>Patient 5</t>
  </si>
  <si>
    <t>Patient 6</t>
  </si>
  <si>
    <t>Patient 7</t>
  </si>
  <si>
    <t>Patient 8</t>
  </si>
  <si>
    <t>Patient 9</t>
  </si>
  <si>
    <t>Patient 10</t>
  </si>
  <si>
    <t>Patient 11</t>
  </si>
  <si>
    <t>Patient 12</t>
  </si>
  <si>
    <t>Patient 13</t>
  </si>
  <si>
    <t>Patient 14</t>
  </si>
  <si>
    <t>Patient 15</t>
  </si>
  <si>
    <t>Patient 16</t>
  </si>
  <si>
    <t>Patient 17</t>
  </si>
  <si>
    <t>Patient 18</t>
  </si>
  <si>
    <t>Patient 19</t>
  </si>
  <si>
    <t>Patient 20</t>
  </si>
  <si>
    <t>Patient 21</t>
  </si>
  <si>
    <t>Patient 22</t>
  </si>
  <si>
    <t>Patient 23</t>
  </si>
  <si>
    <t>Patient 24</t>
  </si>
  <si>
    <t>Patient 25</t>
  </si>
  <si>
    <t>Patient 26</t>
  </si>
  <si>
    <t>Patient 27</t>
  </si>
  <si>
    <t>Patient 28</t>
  </si>
  <si>
    <t>Patient 29</t>
  </si>
  <si>
    <t>Patient 30</t>
  </si>
  <si>
    <t>Patient 31</t>
  </si>
  <si>
    <t>Patient 32</t>
  </si>
  <si>
    <t>Patient 33</t>
  </si>
  <si>
    <t>Patient 34</t>
  </si>
  <si>
    <t>Patient 35</t>
  </si>
  <si>
    <t>Outcome</t>
  </si>
  <si>
    <t>Follow_Up_Required</t>
  </si>
  <si>
    <t>Ongoing</t>
  </si>
  <si>
    <t>Improved</t>
  </si>
  <si>
    <t xml:space="preserve"> Patient ID </t>
  </si>
  <si>
    <t>Date of Birth</t>
  </si>
  <si>
    <t>Gender</t>
  </si>
  <si>
    <t>GP</t>
  </si>
  <si>
    <t>On Medication</t>
  </si>
  <si>
    <t>M</t>
  </si>
  <si>
    <t>HEALTH CENTRE NORTH</t>
  </si>
  <si>
    <t>F</t>
  </si>
  <si>
    <t>Full</t>
  </si>
  <si>
    <t>Name</t>
  </si>
  <si>
    <t>Jane</t>
  </si>
  <si>
    <t>Alice</t>
  </si>
  <si>
    <t>Robert</t>
  </si>
  <si>
    <t>Sarah</t>
  </si>
  <si>
    <t>BLACK</t>
  </si>
  <si>
    <t>HARRIS</t>
  </si>
  <si>
    <t>Laura</t>
  </si>
  <si>
    <t>David</t>
  </si>
  <si>
    <t>LEWIS</t>
  </si>
  <si>
    <t>Olivia</t>
  </si>
  <si>
    <t>KING</t>
  </si>
  <si>
    <t>WRIGHT</t>
  </si>
  <si>
    <t>ADAMS</t>
  </si>
  <si>
    <t>BAKER</t>
  </si>
  <si>
    <t>Chloe</t>
  </si>
  <si>
    <t>Noah</t>
  </si>
  <si>
    <t>Mia</t>
  </si>
  <si>
    <t>Oliver</t>
  </si>
  <si>
    <t>EVANS</t>
  </si>
  <si>
    <t>Zoe</t>
  </si>
  <si>
    <t>COLLINS</t>
  </si>
  <si>
    <t>Ava</t>
  </si>
  <si>
    <t>MORRIS</t>
  </si>
  <si>
    <t>ROGERS</t>
  </si>
  <si>
    <t>John</t>
  </si>
  <si>
    <t>Michael</t>
  </si>
  <si>
    <t>Emily</t>
  </si>
  <si>
    <t>Thomas</t>
  </si>
  <si>
    <t>Emma</t>
  </si>
  <si>
    <t>Daniel</t>
  </si>
  <si>
    <t>James</t>
  </si>
  <si>
    <t>Sophia</t>
  </si>
  <si>
    <t>Matthew</t>
  </si>
  <si>
    <t>Isla</t>
  </si>
  <si>
    <t>Benjamin</t>
  </si>
  <si>
    <t>Amelia</t>
  </si>
  <si>
    <t>Lucas</t>
  </si>
  <si>
    <t>Grace</t>
  </si>
  <si>
    <t>Henry</t>
  </si>
  <si>
    <t>Ella</t>
  </si>
  <si>
    <t>Samuel</t>
  </si>
  <si>
    <t>Lily</t>
  </si>
  <si>
    <t>Ethan</t>
  </si>
  <si>
    <t>Joshua</t>
  </si>
  <si>
    <t>Ryan</t>
  </si>
  <si>
    <t>Hannah</t>
  </si>
  <si>
    <t>SMITH</t>
  </si>
  <si>
    <t>DOE</t>
  </si>
  <si>
    <t>BROWN</t>
  </si>
  <si>
    <t>JONES</t>
  </si>
  <si>
    <t>WHITE</t>
  </si>
  <si>
    <t>GREEN</t>
  </si>
  <si>
    <t>WILSON</t>
  </si>
  <si>
    <t>CLARK</t>
  </si>
  <si>
    <t>WALKER</t>
  </si>
  <si>
    <t>HALL</t>
  </si>
  <si>
    <t>YOUNG</t>
  </si>
  <si>
    <t>LOPEZ</t>
  </si>
  <si>
    <t>SCOTT</t>
  </si>
  <si>
    <t>NELSON</t>
  </si>
  <si>
    <t>CARTER</t>
  </si>
  <si>
    <t>MITCHELL</t>
  </si>
  <si>
    <t>PEREZ</t>
  </si>
  <si>
    <t>ROBERTS</t>
  </si>
  <si>
    <t>TURNER</t>
  </si>
  <si>
    <t>PHILLIPS</t>
  </si>
  <si>
    <t>CAMPBELL</t>
  </si>
  <si>
    <t>PARKER</t>
  </si>
  <si>
    <t>EDWARDS</t>
  </si>
  <si>
    <t>STEWART</t>
  </si>
  <si>
    <t>DR ADAMS</t>
  </si>
  <si>
    <t>YES</t>
  </si>
  <si>
    <t>NO</t>
  </si>
  <si>
    <t>Appointment Count</t>
  </si>
  <si>
    <t>DNA</t>
  </si>
  <si>
    <t>Follow Up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</si>
</sst>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196FA88D-7F55-4F48-B636-A233A16CDEA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631BB12-46B3-4ABE-AE8D-849F7780B507}" autoFormatId="16" applyNumberFormats="0" applyBorderFormats="0" applyFontFormats="0" applyPatternFormats="0" applyAlignmentFormats="0" applyWidthHeightFormats="0">
  <queryTableRefresh nextId="6">
    <queryTableFields count="5">
      <queryTableField id="1" name="Patient_ID" tableColumnId="1"/>
      <queryTableField id="2" name="Patient_Name" tableColumnId="2"/>
      <queryTableField id="3" name="Department" tableColumnId="3"/>
      <queryTableField id="4" name="Year" tableColumnId="4"/>
      <queryTableField id="5" name="Month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9FEF55-079A-4806-8581-7E45EADF742E}" autoFormatId="16" applyNumberFormats="0" applyBorderFormats="0" applyFontFormats="0" applyPatternFormats="0" applyAlignmentFormats="0" applyWidthHeightFormats="0">
  <queryTableRefresh nextId="4">
    <queryTableFields count="3">
      <queryTableField id="1" name="Patient_ID" tableColumnId="1"/>
      <queryTableField id="2" name="Appointment_Count" tableColumnId="2"/>
      <queryTableField id="3" name="Did_Not_Atten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8F23A3F-A53F-4E93-9137-A3DBB70E9F7D}" autoFormatId="16" applyNumberFormats="0" applyBorderFormats="0" applyFontFormats="0" applyPatternFormats="0" applyAlignmentFormats="0" applyWidthHeightFormats="0">
  <queryTableRefresh nextId="27" unboundColumnsRight="7">
    <queryTableFields count="14">
      <queryTableField id="1" name=" Patient ID " tableColumnId="1"/>
      <queryTableField id="2" name="Full Name" tableColumnId="2"/>
      <queryTableField id="8" dataBound="0" tableColumnId="8"/>
      <queryTableField id="3" name="Date of Birth" tableColumnId="3"/>
      <queryTableField id="4" name="Gender" tableColumnId="4"/>
      <queryTableField id="5" name="GP" tableColumnId="5"/>
      <queryTableField id="6" name="On Medication" tableColumnId="6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BA0B8C-81E3-49D8-892F-4B6513B2F26E}" name="Table001__Page_1" displayName="Table001__Page_1" ref="A1:C36" tableType="queryTable" totalsRowShown="0" headerRowDxfId="14">
  <autoFilter ref="A1:C36" xr:uid="{7DBA0B8C-81E3-49D8-892F-4B6513B2F26E}"/>
  <tableColumns count="3">
    <tableColumn id="1" xr3:uid="{43153A1B-8AED-40AF-92E4-5D0BC3EF5065}" uniqueName="1" name="Patient_ID" queryTableFieldId="1" dataDxfId="17"/>
    <tableColumn id="2" xr3:uid="{94042656-83F7-4CB7-B1BB-85C359A3474F}" uniqueName="2" name="Outcome" queryTableFieldId="2" dataDxfId="16"/>
    <tableColumn id="3" xr3:uid="{6CF5681B-366E-4327-A42E-F2814AAB281E}" uniqueName="3" name="Follow_Up_Required" queryTableFieldId="3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2BE16D-AAAF-4D2E-AA8C-32730114715C}" name="patient_attendance" displayName="patient_attendance" ref="A1:E36" tableType="queryTable" totalsRowShown="0">
  <autoFilter ref="A1:E36" xr:uid="{E92BE16D-AAAF-4D2E-AA8C-32730114715C}"/>
  <tableColumns count="5">
    <tableColumn id="1" xr3:uid="{A2DAF352-873D-448F-A3CA-5A1FF0E41141}" uniqueName="1" name="Patient_ID" queryTableFieldId="1" dataDxfId="20"/>
    <tableColumn id="2" xr3:uid="{80152300-ED8D-4438-908F-46C0E0330B3C}" uniqueName="2" name="Patient_Name" queryTableFieldId="2" dataDxfId="19"/>
    <tableColumn id="3" xr3:uid="{ECB46F20-CF77-47C2-BCCB-7725226D154F}" uniqueName="3" name="Department" queryTableFieldId="3" dataDxfId="18"/>
    <tableColumn id="4" xr3:uid="{690C77B3-33E3-4EC7-973A-7A4E9ABB3F7D}" uniqueName="4" name="Year" queryTableFieldId="4"/>
    <tableColumn id="5" xr3:uid="{7A75C766-20CA-4A87-8DE8-54FBA4AD1DDD}" uniqueName="5" name="Month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15976-93F4-4DED-8DC7-9BA34CA14CF1}" name="Appointments" displayName="Appointments" ref="A1:C36" tableType="queryTable" totalsRowShown="0">
  <autoFilter ref="A1:C36" xr:uid="{BBC15976-93F4-4DED-8DC7-9BA34CA14CF1}"/>
  <tableColumns count="3">
    <tableColumn id="1" xr3:uid="{91235FAE-E0F9-49B1-9781-098AB77AAD5A}" uniqueName="1" name="Patient_ID" queryTableFieldId="1" dataDxfId="22"/>
    <tableColumn id="2" xr3:uid="{EE83F44E-157B-493C-8F21-F8BF690C657F}" uniqueName="2" name="Appointment_Count" queryTableFieldId="2"/>
    <tableColumn id="3" xr3:uid="{64C662DF-8AA4-4A57-8263-8A2A1C72BDD8}" uniqueName="3" name="Did_Not_Attend" queryTableFieldId="3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3747EC-4E51-4914-A903-3A29B326DFB0}" name="messy_patient_details" displayName="messy_patient_details" ref="A1:N36" tableType="queryTable" totalsRowShown="0">
  <autoFilter ref="A1:N36" xr:uid="{563747EC-4E51-4914-A903-3A29B326DFB0}"/>
  <tableColumns count="14">
    <tableColumn id="1" xr3:uid="{3A6C8065-3101-4771-BD39-C41DB8F699D2}" uniqueName="1" name=" Patient ID " queryTableFieldId="1" dataDxfId="13"/>
    <tableColumn id="2" xr3:uid="{96318F57-D35F-4BEE-8142-6961D714B82E}" uniqueName="2" name="Full" queryTableFieldId="2" dataDxfId="12"/>
    <tableColumn id="8" xr3:uid="{B1EDFACB-9283-4DB2-A595-33F0BFD58A49}" uniqueName="8" name="Name" queryTableFieldId="8" dataDxfId="8"/>
    <tableColumn id="3" xr3:uid="{B46712E5-4C22-47AD-863A-B72D97828E9A}" uniqueName="3" name="Date of Birth" queryTableFieldId="3" dataDxfId="7"/>
    <tableColumn id="4" xr3:uid="{3F90658E-DDA8-4AC5-88BD-1BBDB89DD5C7}" uniqueName="4" name="Gender" queryTableFieldId="4" dataDxfId="11"/>
    <tableColumn id="5" xr3:uid="{3A473CD8-98A7-4183-AF24-FF54E9994FC3}" uniqueName="5" name="GP" queryTableFieldId="5" dataDxfId="10"/>
    <tableColumn id="6" xr3:uid="{13D009A3-1E5A-4C21-BA2E-3CA41322B7DC}" uniqueName="6" name="On Medication" queryTableFieldId="6" dataDxfId="9"/>
    <tableColumn id="20" xr3:uid="{62584886-72B7-442F-953C-BF6F6DC799E1}" uniqueName="20" name="Appointment Count" queryTableFieldId="20" dataDxfId="6">
      <calculatedColumnFormula>_xlfn.XLOOKUP(messy_patient_details[[#This Row],[ Patient ID ]],Appointments!A:A,Appointments!B:B,"Not recorded")</calculatedColumnFormula>
    </tableColumn>
    <tableColumn id="21" xr3:uid="{F1C4198F-77E4-4244-9FDB-56DF77597031}" uniqueName="21" name="DNA" queryTableFieldId="21" dataDxfId="5">
      <calculatedColumnFormula>_xlfn.XLOOKUP(messy_patient_details[[#This Row],[ Patient ID ]],Appointments!A:A,Appointments!C:C,"Not recorded")</calculatedColumnFormula>
    </tableColumn>
    <tableColumn id="22" xr3:uid="{E4942956-0DC8-404A-BEB4-E8F6D5DFD220}" uniqueName="22" name="Department" queryTableFieldId="22" dataDxfId="4">
      <calculatedColumnFormula>_xlfn.XLOOKUP(messy_patient_details[[#This Row],[ Patient ID ]],patient_attendance!A:A,patient_attendance!C:C,"Not recorded")</calculatedColumnFormula>
    </tableColumn>
    <tableColumn id="23" xr3:uid="{E3DA551E-560F-49DB-97E7-DBCC1FFC7AB4}" uniqueName="23" name="Year" queryTableFieldId="23" dataDxfId="3">
      <calculatedColumnFormula>_xlfn.XLOOKUP(messy_patient_details[[#This Row],[ Patient ID ]],patient_attendance!A:A,patient_attendance!D:D,"Not recorded")</calculatedColumnFormula>
    </tableColumn>
    <tableColumn id="24" xr3:uid="{4C4A8AAA-1045-4B88-8051-0C82C1491D18}" uniqueName="24" name="Month" queryTableFieldId="24" dataDxfId="2">
      <calculatedColumnFormula>_xlfn.XLOOKUP(messy_patient_details[[#This Row],[ Patient ID ]],patient_attendance!A:A,patient_attendance!E:E,"Not recorded")</calculatedColumnFormula>
    </tableColumn>
    <tableColumn id="25" xr3:uid="{6C2ED7DD-0977-42FD-A4DB-E2309A6F6A52}" uniqueName="25" name="Outcome" queryTableFieldId="25" dataDxfId="1">
      <calculatedColumnFormula>_xlfn.XLOOKUP(messy_patient_details[[#This Row],[ Patient ID ]],patient_outcome!A:A,patient_outcome!B:B,"Not recorded")</calculatedColumnFormula>
    </tableColumn>
    <tableColumn id="26" xr3:uid="{EBE904D3-701B-48F5-8016-F518E83DE462}" uniqueName="26" name="Follow Up Required" queryTableFieldId="26" dataDxfId="0">
      <calculatedColumnFormula>_xlfn.XLOOKUP(messy_patient_details[[#This Row],[ Patient ID ]],patient_outcome!A:A,patient_outcome!C:C,"Not recorded")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435C-25E3-4321-92E4-76C90D3C44D8}">
  <dimension ref="A1:C36"/>
  <sheetViews>
    <sheetView workbookViewId="0">
      <selection activeCell="F33" sqref="F33"/>
    </sheetView>
  </sheetViews>
  <sheetFormatPr defaultRowHeight="15" x14ac:dyDescent="0.25"/>
  <cols>
    <col min="1" max="2" width="11.42578125" bestFit="1" customWidth="1"/>
    <col min="3" max="3" width="19.140625" bestFit="1" customWidth="1"/>
  </cols>
  <sheetData>
    <row r="1" spans="1:3" x14ac:dyDescent="0.25">
      <c r="A1" s="1" t="s">
        <v>0</v>
      </c>
      <c r="B1" s="1" t="s">
        <v>80</v>
      </c>
      <c r="C1" s="1" t="s">
        <v>81</v>
      </c>
    </row>
    <row r="2" spans="1:3" x14ac:dyDescent="0.25">
      <c r="A2" s="1" t="s">
        <v>3</v>
      </c>
      <c r="B2" s="1" t="s">
        <v>82</v>
      </c>
      <c r="C2" s="1" t="s">
        <v>11</v>
      </c>
    </row>
    <row r="3" spans="1:3" x14ac:dyDescent="0.25">
      <c r="A3" s="1" t="s">
        <v>5</v>
      </c>
      <c r="B3" s="1" t="s">
        <v>83</v>
      </c>
      <c r="C3" s="1" t="s">
        <v>4</v>
      </c>
    </row>
    <row r="4" spans="1:3" x14ac:dyDescent="0.25">
      <c r="A4" s="1" t="s">
        <v>6</v>
      </c>
      <c r="B4" s="1" t="s">
        <v>83</v>
      </c>
      <c r="C4" s="1" t="s">
        <v>4</v>
      </c>
    </row>
    <row r="5" spans="1:3" x14ac:dyDescent="0.25">
      <c r="A5" s="1" t="s">
        <v>7</v>
      </c>
      <c r="B5" s="1" t="s">
        <v>83</v>
      </c>
      <c r="C5" s="1" t="s">
        <v>4</v>
      </c>
    </row>
    <row r="6" spans="1:3" x14ac:dyDescent="0.25">
      <c r="A6" s="1" t="s">
        <v>8</v>
      </c>
      <c r="B6" s="1" t="s">
        <v>82</v>
      </c>
      <c r="C6" s="1" t="s">
        <v>4</v>
      </c>
    </row>
    <row r="7" spans="1:3" x14ac:dyDescent="0.25">
      <c r="A7" s="1" t="s">
        <v>9</v>
      </c>
      <c r="B7" s="1" t="s">
        <v>83</v>
      </c>
      <c r="C7" s="1" t="s">
        <v>4</v>
      </c>
    </row>
    <row r="8" spans="1:3" x14ac:dyDescent="0.25">
      <c r="A8" s="1" t="s">
        <v>10</v>
      </c>
      <c r="B8" s="1" t="s">
        <v>83</v>
      </c>
      <c r="C8" s="1" t="s">
        <v>11</v>
      </c>
    </row>
    <row r="9" spans="1:3" x14ac:dyDescent="0.25">
      <c r="A9" s="1" t="s">
        <v>12</v>
      </c>
      <c r="B9" s="1" t="s">
        <v>83</v>
      </c>
      <c r="C9" s="1" t="s">
        <v>4</v>
      </c>
    </row>
    <row r="10" spans="1:3" x14ac:dyDescent="0.25">
      <c r="A10" s="1" t="s">
        <v>13</v>
      </c>
      <c r="B10" s="1" t="s">
        <v>82</v>
      </c>
      <c r="C10" s="1" t="s">
        <v>4</v>
      </c>
    </row>
    <row r="11" spans="1:3" x14ac:dyDescent="0.25">
      <c r="A11" s="1" t="s">
        <v>14</v>
      </c>
      <c r="B11" s="1" t="s">
        <v>83</v>
      </c>
      <c r="C11" s="1" t="s">
        <v>4</v>
      </c>
    </row>
    <row r="12" spans="1:3" x14ac:dyDescent="0.25">
      <c r="A12" s="1" t="s">
        <v>15</v>
      </c>
      <c r="B12" s="1" t="s">
        <v>83</v>
      </c>
      <c r="C12" s="1" t="s">
        <v>4</v>
      </c>
    </row>
    <row r="13" spans="1:3" x14ac:dyDescent="0.25">
      <c r="A13" s="1" t="s">
        <v>16</v>
      </c>
      <c r="B13" s="1" t="s">
        <v>83</v>
      </c>
      <c r="C13" s="1" t="s">
        <v>4</v>
      </c>
    </row>
    <row r="14" spans="1:3" x14ac:dyDescent="0.25">
      <c r="A14" s="1" t="s">
        <v>17</v>
      </c>
      <c r="B14" s="1" t="s">
        <v>82</v>
      </c>
      <c r="C14" s="1" t="s">
        <v>11</v>
      </c>
    </row>
    <row r="15" spans="1:3" x14ac:dyDescent="0.25">
      <c r="A15" s="1" t="s">
        <v>18</v>
      </c>
      <c r="B15" s="1" t="s">
        <v>83</v>
      </c>
      <c r="C15" s="1" t="s">
        <v>4</v>
      </c>
    </row>
    <row r="16" spans="1:3" x14ac:dyDescent="0.25">
      <c r="A16" s="1" t="s">
        <v>19</v>
      </c>
      <c r="B16" s="1" t="s">
        <v>83</v>
      </c>
      <c r="C16" s="1" t="s">
        <v>4</v>
      </c>
    </row>
    <row r="17" spans="1:3" x14ac:dyDescent="0.25">
      <c r="A17" s="1" t="s">
        <v>20</v>
      </c>
      <c r="B17" s="1" t="s">
        <v>83</v>
      </c>
      <c r="C17" s="1" t="s">
        <v>4</v>
      </c>
    </row>
    <row r="18" spans="1:3" x14ac:dyDescent="0.25">
      <c r="A18" s="1" t="s">
        <v>21</v>
      </c>
      <c r="B18" s="1" t="s">
        <v>82</v>
      </c>
      <c r="C18" s="1" t="s">
        <v>4</v>
      </c>
    </row>
    <row r="19" spans="1:3" x14ac:dyDescent="0.25">
      <c r="A19" s="1" t="s">
        <v>22</v>
      </c>
      <c r="B19" s="1" t="s">
        <v>83</v>
      </c>
      <c r="C19" s="1" t="s">
        <v>4</v>
      </c>
    </row>
    <row r="20" spans="1:3" x14ac:dyDescent="0.25">
      <c r="A20" s="1" t="s">
        <v>23</v>
      </c>
      <c r="B20" s="1" t="s">
        <v>83</v>
      </c>
      <c r="C20" s="1" t="s">
        <v>11</v>
      </c>
    </row>
    <row r="21" spans="1:3" x14ac:dyDescent="0.25">
      <c r="A21" s="1" t="s">
        <v>24</v>
      </c>
      <c r="B21" s="1" t="s">
        <v>83</v>
      </c>
      <c r="C21" s="1" t="s">
        <v>4</v>
      </c>
    </row>
    <row r="22" spans="1:3" x14ac:dyDescent="0.25">
      <c r="A22" s="1" t="s">
        <v>25</v>
      </c>
      <c r="B22" s="1" t="s">
        <v>82</v>
      </c>
      <c r="C22" s="1" t="s">
        <v>4</v>
      </c>
    </row>
    <row r="23" spans="1:3" x14ac:dyDescent="0.25">
      <c r="A23" s="1" t="s">
        <v>26</v>
      </c>
      <c r="B23" s="1" t="s">
        <v>83</v>
      </c>
      <c r="C23" s="1" t="s">
        <v>4</v>
      </c>
    </row>
    <row r="24" spans="1:3" x14ac:dyDescent="0.25">
      <c r="A24" s="1" t="s">
        <v>27</v>
      </c>
      <c r="B24" s="1" t="s">
        <v>83</v>
      </c>
      <c r="C24" s="1" t="s">
        <v>4</v>
      </c>
    </row>
    <row r="25" spans="1:3" x14ac:dyDescent="0.25">
      <c r="A25" s="1" t="s">
        <v>28</v>
      </c>
      <c r="B25" s="1" t="s">
        <v>83</v>
      </c>
      <c r="C25" s="1" t="s">
        <v>4</v>
      </c>
    </row>
    <row r="26" spans="1:3" x14ac:dyDescent="0.25">
      <c r="A26" s="1" t="s">
        <v>29</v>
      </c>
      <c r="B26" s="1" t="s">
        <v>82</v>
      </c>
      <c r="C26" s="1" t="s">
        <v>11</v>
      </c>
    </row>
    <row r="27" spans="1:3" x14ac:dyDescent="0.25">
      <c r="A27" s="1" t="s">
        <v>30</v>
      </c>
      <c r="B27" s="1" t="s">
        <v>83</v>
      </c>
      <c r="C27" s="1" t="s">
        <v>4</v>
      </c>
    </row>
    <row r="28" spans="1:3" x14ac:dyDescent="0.25">
      <c r="A28" s="1" t="s">
        <v>31</v>
      </c>
      <c r="B28" s="1" t="s">
        <v>83</v>
      </c>
      <c r="C28" s="1" t="s">
        <v>4</v>
      </c>
    </row>
    <row r="29" spans="1:3" x14ac:dyDescent="0.25">
      <c r="A29" s="1" t="s">
        <v>32</v>
      </c>
      <c r="B29" s="1" t="s">
        <v>83</v>
      </c>
      <c r="C29" s="1" t="s">
        <v>4</v>
      </c>
    </row>
    <row r="30" spans="1:3" x14ac:dyDescent="0.25">
      <c r="A30" s="1" t="s">
        <v>33</v>
      </c>
      <c r="B30" s="1" t="s">
        <v>82</v>
      </c>
      <c r="C30" s="1" t="s">
        <v>4</v>
      </c>
    </row>
    <row r="31" spans="1:3" x14ac:dyDescent="0.25">
      <c r="A31" s="1" t="s">
        <v>34</v>
      </c>
      <c r="B31" s="1" t="s">
        <v>83</v>
      </c>
      <c r="C31" s="1" t="s">
        <v>4</v>
      </c>
    </row>
    <row r="32" spans="1:3" x14ac:dyDescent="0.25">
      <c r="A32" s="1" t="s">
        <v>35</v>
      </c>
      <c r="B32" s="1" t="s">
        <v>83</v>
      </c>
      <c r="C32" s="1" t="s">
        <v>11</v>
      </c>
    </row>
    <row r="33" spans="1:3" x14ac:dyDescent="0.25">
      <c r="A33" s="1" t="s">
        <v>36</v>
      </c>
      <c r="B33" s="1" t="s">
        <v>83</v>
      </c>
      <c r="C33" s="1" t="s">
        <v>4</v>
      </c>
    </row>
    <row r="34" spans="1:3" x14ac:dyDescent="0.25">
      <c r="A34" s="1" t="s">
        <v>37</v>
      </c>
      <c r="B34" s="1" t="s">
        <v>82</v>
      </c>
      <c r="C34" s="1" t="s">
        <v>4</v>
      </c>
    </row>
    <row r="35" spans="1:3" x14ac:dyDescent="0.25">
      <c r="A35" s="1" t="s">
        <v>38</v>
      </c>
      <c r="B35" s="1" t="s">
        <v>83</v>
      </c>
      <c r="C35" s="1" t="s">
        <v>4</v>
      </c>
    </row>
    <row r="36" spans="1:3" x14ac:dyDescent="0.25">
      <c r="A36" s="1" t="s">
        <v>39</v>
      </c>
      <c r="B36" s="1" t="s">
        <v>83</v>
      </c>
      <c r="C36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F660-B656-4461-B0F6-B5982BBEE84D}">
  <sheetPr>
    <tabColor rgb="FFFFFF00"/>
  </sheetPr>
  <dimension ref="A1:E36"/>
  <sheetViews>
    <sheetView workbookViewId="0">
      <selection activeCell="C2" sqref="C2"/>
    </sheetView>
  </sheetViews>
  <sheetFormatPr defaultRowHeight="15" x14ac:dyDescent="0.25"/>
  <cols>
    <col min="1" max="1" width="12.5703125" bestFit="1" customWidth="1"/>
    <col min="2" max="2" width="16" bestFit="1" customWidth="1"/>
    <col min="3" max="3" width="14.140625" bestFit="1" customWidth="1"/>
    <col min="4" max="4" width="7.28515625" bestFit="1" customWidth="1"/>
    <col min="5" max="5" width="9" bestFit="1" customWidth="1"/>
  </cols>
  <sheetData>
    <row r="1" spans="1:5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5">
      <c r="A2" s="1" t="s">
        <v>3</v>
      </c>
      <c r="B2" s="1" t="s">
        <v>44</v>
      </c>
      <c r="C2" s="1" t="s">
        <v>45</v>
      </c>
      <c r="D2">
        <v>2025</v>
      </c>
      <c r="E2">
        <v>2</v>
      </c>
    </row>
    <row r="3" spans="1:5" x14ac:dyDescent="0.25">
      <c r="A3" s="1" t="s">
        <v>5</v>
      </c>
      <c r="B3" s="1" t="s">
        <v>46</v>
      </c>
      <c r="C3" s="1" t="s">
        <v>45</v>
      </c>
      <c r="D3">
        <v>2025</v>
      </c>
      <c r="E3">
        <v>3</v>
      </c>
    </row>
    <row r="4" spans="1:5" x14ac:dyDescent="0.25">
      <c r="A4" s="1" t="s">
        <v>6</v>
      </c>
      <c r="B4" s="1" t="s">
        <v>47</v>
      </c>
      <c r="C4" s="1" t="s">
        <v>45</v>
      </c>
      <c r="D4">
        <v>2025</v>
      </c>
      <c r="E4">
        <v>4</v>
      </c>
    </row>
    <row r="5" spans="1:5" x14ac:dyDescent="0.25">
      <c r="A5" s="1" t="s">
        <v>7</v>
      </c>
      <c r="B5" s="1" t="s">
        <v>48</v>
      </c>
      <c r="C5" s="1" t="s">
        <v>45</v>
      </c>
      <c r="D5">
        <v>2025</v>
      </c>
      <c r="E5">
        <v>5</v>
      </c>
    </row>
    <row r="6" spans="1:5" x14ac:dyDescent="0.25">
      <c r="A6" s="1" t="s">
        <v>8</v>
      </c>
      <c r="B6" s="1" t="s">
        <v>49</v>
      </c>
      <c r="C6" s="1" t="s">
        <v>45</v>
      </c>
      <c r="D6">
        <v>2025</v>
      </c>
      <c r="E6">
        <v>6</v>
      </c>
    </row>
    <row r="7" spans="1:5" x14ac:dyDescent="0.25">
      <c r="A7" s="1" t="s">
        <v>9</v>
      </c>
      <c r="B7" s="1" t="s">
        <v>50</v>
      </c>
      <c r="C7" s="1" t="s">
        <v>45</v>
      </c>
      <c r="D7">
        <v>2025</v>
      </c>
      <c r="E7">
        <v>7</v>
      </c>
    </row>
    <row r="8" spans="1:5" x14ac:dyDescent="0.25">
      <c r="A8" s="1" t="s">
        <v>10</v>
      </c>
      <c r="B8" s="1" t="s">
        <v>51</v>
      </c>
      <c r="C8" s="1" t="s">
        <v>45</v>
      </c>
      <c r="D8">
        <v>2025</v>
      </c>
      <c r="E8">
        <v>8</v>
      </c>
    </row>
    <row r="9" spans="1:5" x14ac:dyDescent="0.25">
      <c r="A9" s="1" t="s">
        <v>12</v>
      </c>
      <c r="B9" s="1" t="s">
        <v>52</v>
      </c>
      <c r="C9" s="1" t="s">
        <v>45</v>
      </c>
      <c r="D9">
        <v>2025</v>
      </c>
      <c r="E9">
        <v>9</v>
      </c>
    </row>
    <row r="10" spans="1:5" x14ac:dyDescent="0.25">
      <c r="A10" s="1" t="s">
        <v>13</v>
      </c>
      <c r="B10" s="1" t="s">
        <v>53</v>
      </c>
      <c r="C10" s="1" t="s">
        <v>45</v>
      </c>
      <c r="D10">
        <v>2025</v>
      </c>
      <c r="E10">
        <v>10</v>
      </c>
    </row>
    <row r="11" spans="1:5" x14ac:dyDescent="0.25">
      <c r="A11" s="1" t="s">
        <v>14</v>
      </c>
      <c r="B11" s="1" t="s">
        <v>54</v>
      </c>
      <c r="C11" s="1" t="s">
        <v>45</v>
      </c>
      <c r="D11">
        <v>2025</v>
      </c>
      <c r="E11">
        <v>11</v>
      </c>
    </row>
    <row r="12" spans="1:5" x14ac:dyDescent="0.25">
      <c r="A12" s="1" t="s">
        <v>15</v>
      </c>
      <c r="B12" s="1" t="s">
        <v>55</v>
      </c>
      <c r="C12" s="1" t="s">
        <v>45</v>
      </c>
      <c r="D12">
        <v>2025</v>
      </c>
      <c r="E12">
        <v>12</v>
      </c>
    </row>
    <row r="13" spans="1:5" x14ac:dyDescent="0.25">
      <c r="A13" s="1" t="s">
        <v>16</v>
      </c>
      <c r="B13" s="1" t="s">
        <v>56</v>
      </c>
      <c r="C13" s="1" t="s">
        <v>45</v>
      </c>
      <c r="D13">
        <v>2025</v>
      </c>
      <c r="E13">
        <v>1</v>
      </c>
    </row>
    <row r="14" spans="1:5" x14ac:dyDescent="0.25">
      <c r="A14" s="1" t="s">
        <v>17</v>
      </c>
      <c r="B14" s="1" t="s">
        <v>57</v>
      </c>
      <c r="C14" s="1" t="s">
        <v>45</v>
      </c>
      <c r="D14">
        <v>2025</v>
      </c>
      <c r="E14">
        <v>2</v>
      </c>
    </row>
    <row r="15" spans="1:5" x14ac:dyDescent="0.25">
      <c r="A15" s="1" t="s">
        <v>18</v>
      </c>
      <c r="B15" s="1" t="s">
        <v>58</v>
      </c>
      <c r="C15" s="1" t="s">
        <v>45</v>
      </c>
      <c r="D15">
        <v>2025</v>
      </c>
      <c r="E15">
        <v>3</v>
      </c>
    </row>
    <row r="16" spans="1:5" x14ac:dyDescent="0.25">
      <c r="A16" s="1" t="s">
        <v>19</v>
      </c>
      <c r="B16" s="1" t="s">
        <v>59</v>
      </c>
      <c r="C16" s="1" t="s">
        <v>45</v>
      </c>
      <c r="D16">
        <v>2025</v>
      </c>
      <c r="E16">
        <v>4</v>
      </c>
    </row>
    <row r="17" spans="1:5" x14ac:dyDescent="0.25">
      <c r="A17" s="1" t="s">
        <v>20</v>
      </c>
      <c r="B17" s="1" t="s">
        <v>60</v>
      </c>
      <c r="C17" s="1" t="s">
        <v>45</v>
      </c>
      <c r="D17">
        <v>2025</v>
      </c>
      <c r="E17">
        <v>5</v>
      </c>
    </row>
    <row r="18" spans="1:5" x14ac:dyDescent="0.25">
      <c r="A18" s="1" t="s">
        <v>21</v>
      </c>
      <c r="B18" s="1" t="s">
        <v>61</v>
      </c>
      <c r="C18" s="1" t="s">
        <v>45</v>
      </c>
      <c r="D18">
        <v>2025</v>
      </c>
      <c r="E18">
        <v>6</v>
      </c>
    </row>
    <row r="19" spans="1:5" x14ac:dyDescent="0.25">
      <c r="A19" s="1" t="s">
        <v>22</v>
      </c>
      <c r="B19" s="1" t="s">
        <v>62</v>
      </c>
      <c r="C19" s="1" t="s">
        <v>45</v>
      </c>
      <c r="D19">
        <v>2025</v>
      </c>
      <c r="E19">
        <v>7</v>
      </c>
    </row>
    <row r="20" spans="1:5" x14ac:dyDescent="0.25">
      <c r="A20" s="1" t="s">
        <v>23</v>
      </c>
      <c r="B20" s="1" t="s">
        <v>63</v>
      </c>
      <c r="C20" s="1" t="s">
        <v>45</v>
      </c>
      <c r="D20">
        <v>2025</v>
      </c>
      <c r="E20">
        <v>8</v>
      </c>
    </row>
    <row r="21" spans="1:5" x14ac:dyDescent="0.25">
      <c r="A21" s="1" t="s">
        <v>24</v>
      </c>
      <c r="B21" s="1" t="s">
        <v>64</v>
      </c>
      <c r="C21" s="1" t="s">
        <v>45</v>
      </c>
      <c r="D21">
        <v>2025</v>
      </c>
      <c r="E21">
        <v>9</v>
      </c>
    </row>
    <row r="22" spans="1:5" x14ac:dyDescent="0.25">
      <c r="A22" s="1" t="s">
        <v>25</v>
      </c>
      <c r="B22" s="1" t="s">
        <v>65</v>
      </c>
      <c r="C22" s="1" t="s">
        <v>45</v>
      </c>
      <c r="D22">
        <v>2025</v>
      </c>
      <c r="E22">
        <v>10</v>
      </c>
    </row>
    <row r="23" spans="1:5" x14ac:dyDescent="0.25">
      <c r="A23" s="1" t="s">
        <v>26</v>
      </c>
      <c r="B23" s="1" t="s">
        <v>66</v>
      </c>
      <c r="C23" s="1" t="s">
        <v>45</v>
      </c>
      <c r="D23">
        <v>2025</v>
      </c>
      <c r="E23">
        <v>11</v>
      </c>
    </row>
    <row r="24" spans="1:5" x14ac:dyDescent="0.25">
      <c r="A24" s="1" t="s">
        <v>27</v>
      </c>
      <c r="B24" s="1" t="s">
        <v>67</v>
      </c>
      <c r="C24" s="1" t="s">
        <v>45</v>
      </c>
      <c r="D24">
        <v>2025</v>
      </c>
      <c r="E24">
        <v>12</v>
      </c>
    </row>
    <row r="25" spans="1:5" x14ac:dyDescent="0.25">
      <c r="A25" s="1" t="s">
        <v>28</v>
      </c>
      <c r="B25" s="1" t="s">
        <v>68</v>
      </c>
      <c r="C25" s="1" t="s">
        <v>45</v>
      </c>
      <c r="D25">
        <v>2025</v>
      </c>
      <c r="E25">
        <v>1</v>
      </c>
    </row>
    <row r="26" spans="1:5" x14ac:dyDescent="0.25">
      <c r="A26" s="1" t="s">
        <v>29</v>
      </c>
      <c r="B26" s="1" t="s">
        <v>69</v>
      </c>
      <c r="C26" s="1" t="s">
        <v>45</v>
      </c>
      <c r="D26">
        <v>2025</v>
      </c>
      <c r="E26">
        <v>2</v>
      </c>
    </row>
    <row r="27" spans="1:5" x14ac:dyDescent="0.25">
      <c r="A27" s="1" t="s">
        <v>30</v>
      </c>
      <c r="B27" s="1" t="s">
        <v>70</v>
      </c>
      <c r="C27" s="1" t="s">
        <v>45</v>
      </c>
      <c r="D27">
        <v>2025</v>
      </c>
      <c r="E27">
        <v>3</v>
      </c>
    </row>
    <row r="28" spans="1:5" x14ac:dyDescent="0.25">
      <c r="A28" s="1" t="s">
        <v>31</v>
      </c>
      <c r="B28" s="1" t="s">
        <v>71</v>
      </c>
      <c r="C28" s="1" t="s">
        <v>45</v>
      </c>
      <c r="D28">
        <v>2025</v>
      </c>
      <c r="E28">
        <v>4</v>
      </c>
    </row>
    <row r="29" spans="1:5" x14ac:dyDescent="0.25">
      <c r="A29" s="1" t="s">
        <v>32</v>
      </c>
      <c r="B29" s="1" t="s">
        <v>72</v>
      </c>
      <c r="C29" s="1" t="s">
        <v>45</v>
      </c>
      <c r="D29">
        <v>2025</v>
      </c>
      <c r="E29">
        <v>5</v>
      </c>
    </row>
    <row r="30" spans="1:5" x14ac:dyDescent="0.25">
      <c r="A30" s="1" t="s">
        <v>33</v>
      </c>
      <c r="B30" s="1" t="s">
        <v>73</v>
      </c>
      <c r="C30" s="1" t="s">
        <v>45</v>
      </c>
      <c r="D30">
        <v>2025</v>
      </c>
      <c r="E30">
        <v>6</v>
      </c>
    </row>
    <row r="31" spans="1:5" x14ac:dyDescent="0.25">
      <c r="A31" s="1" t="s">
        <v>34</v>
      </c>
      <c r="B31" s="1" t="s">
        <v>74</v>
      </c>
      <c r="C31" s="1" t="s">
        <v>45</v>
      </c>
      <c r="D31">
        <v>2025</v>
      </c>
      <c r="E31">
        <v>7</v>
      </c>
    </row>
    <row r="32" spans="1:5" x14ac:dyDescent="0.25">
      <c r="A32" s="1" t="s">
        <v>35</v>
      </c>
      <c r="B32" s="1" t="s">
        <v>75</v>
      </c>
      <c r="C32" s="1" t="s">
        <v>45</v>
      </c>
      <c r="D32">
        <v>2025</v>
      </c>
      <c r="E32">
        <v>8</v>
      </c>
    </row>
    <row r="33" spans="1:5" x14ac:dyDescent="0.25">
      <c r="A33" s="1" t="s">
        <v>36</v>
      </c>
      <c r="B33" s="1" t="s">
        <v>76</v>
      </c>
      <c r="C33" s="1" t="s">
        <v>45</v>
      </c>
      <c r="D33">
        <v>2025</v>
      </c>
      <c r="E33">
        <v>9</v>
      </c>
    </row>
    <row r="34" spans="1:5" x14ac:dyDescent="0.25">
      <c r="A34" s="1" t="s">
        <v>37</v>
      </c>
      <c r="B34" s="1" t="s">
        <v>77</v>
      </c>
      <c r="C34" s="1" t="s">
        <v>45</v>
      </c>
      <c r="D34">
        <v>2025</v>
      </c>
      <c r="E34">
        <v>10</v>
      </c>
    </row>
    <row r="35" spans="1:5" x14ac:dyDescent="0.25">
      <c r="A35" s="1" t="s">
        <v>38</v>
      </c>
      <c r="B35" s="1" t="s">
        <v>78</v>
      </c>
      <c r="C35" s="1" t="s">
        <v>45</v>
      </c>
      <c r="D35">
        <v>2025</v>
      </c>
      <c r="E35">
        <v>11</v>
      </c>
    </row>
    <row r="36" spans="1:5" x14ac:dyDescent="0.25">
      <c r="A36" s="1" t="s">
        <v>39</v>
      </c>
      <c r="B36" s="1" t="s">
        <v>79</v>
      </c>
      <c r="C36" s="1" t="s">
        <v>45</v>
      </c>
      <c r="D36">
        <v>2025</v>
      </c>
      <c r="E36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EDA4-7761-413E-83BA-92BDB81CB201}">
  <sheetPr>
    <tabColor rgb="FFFFC000"/>
  </sheetPr>
  <dimension ref="A1:C36"/>
  <sheetViews>
    <sheetView workbookViewId="0">
      <selection activeCell="I28" sqref="I28"/>
    </sheetView>
  </sheetViews>
  <sheetFormatPr defaultRowHeight="15" x14ac:dyDescent="0.25"/>
  <cols>
    <col min="1" max="1" width="12.5703125" bestFit="1" customWidth="1"/>
    <col min="2" max="2" width="21.7109375" bestFit="1" customWidth="1"/>
    <col min="3" max="3" width="1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2</v>
      </c>
      <c r="C2" s="1" t="s">
        <v>4</v>
      </c>
    </row>
    <row r="3" spans="1:3" x14ac:dyDescent="0.25">
      <c r="A3" s="1" t="s">
        <v>5</v>
      </c>
      <c r="B3">
        <v>3</v>
      </c>
      <c r="C3" s="1" t="s">
        <v>4</v>
      </c>
    </row>
    <row r="4" spans="1:3" x14ac:dyDescent="0.25">
      <c r="A4" s="1" t="s">
        <v>6</v>
      </c>
      <c r="B4">
        <v>4</v>
      </c>
      <c r="C4" s="1" t="s">
        <v>4</v>
      </c>
    </row>
    <row r="5" spans="1:3" x14ac:dyDescent="0.25">
      <c r="A5" s="1" t="s">
        <v>7</v>
      </c>
      <c r="B5">
        <v>5</v>
      </c>
      <c r="C5" s="1" t="s">
        <v>4</v>
      </c>
    </row>
    <row r="6" spans="1:3" x14ac:dyDescent="0.25">
      <c r="A6" s="1" t="s">
        <v>8</v>
      </c>
      <c r="B6">
        <v>1</v>
      </c>
      <c r="C6" s="1" t="s">
        <v>4</v>
      </c>
    </row>
    <row r="7" spans="1:3" x14ac:dyDescent="0.25">
      <c r="A7" s="1" t="s">
        <v>9</v>
      </c>
      <c r="B7">
        <v>2</v>
      </c>
      <c r="C7" s="1" t="s">
        <v>4</v>
      </c>
    </row>
    <row r="8" spans="1:3" x14ac:dyDescent="0.25">
      <c r="A8" s="1" t="s">
        <v>10</v>
      </c>
      <c r="B8">
        <v>3</v>
      </c>
      <c r="C8" s="1" t="s">
        <v>11</v>
      </c>
    </row>
    <row r="9" spans="1:3" x14ac:dyDescent="0.25">
      <c r="A9" s="1" t="s">
        <v>12</v>
      </c>
      <c r="B9">
        <v>4</v>
      </c>
      <c r="C9" s="1" t="s">
        <v>4</v>
      </c>
    </row>
    <row r="10" spans="1:3" x14ac:dyDescent="0.25">
      <c r="A10" s="1" t="s">
        <v>13</v>
      </c>
      <c r="B10">
        <v>5</v>
      </c>
      <c r="C10" s="1" t="s">
        <v>4</v>
      </c>
    </row>
    <row r="11" spans="1:3" x14ac:dyDescent="0.25">
      <c r="A11" s="1" t="s">
        <v>14</v>
      </c>
      <c r="B11">
        <v>1</v>
      </c>
      <c r="C11" s="1" t="s">
        <v>4</v>
      </c>
    </row>
    <row r="12" spans="1:3" x14ac:dyDescent="0.25">
      <c r="A12" s="1" t="s">
        <v>15</v>
      </c>
      <c r="B12">
        <v>2</v>
      </c>
      <c r="C12" s="1" t="s">
        <v>4</v>
      </c>
    </row>
    <row r="13" spans="1:3" x14ac:dyDescent="0.25">
      <c r="A13" s="1" t="s">
        <v>16</v>
      </c>
      <c r="B13">
        <v>3</v>
      </c>
      <c r="C13" s="1" t="s">
        <v>4</v>
      </c>
    </row>
    <row r="14" spans="1:3" x14ac:dyDescent="0.25">
      <c r="A14" s="1" t="s">
        <v>17</v>
      </c>
      <c r="B14">
        <v>4</v>
      </c>
      <c r="C14" s="1" t="s">
        <v>4</v>
      </c>
    </row>
    <row r="15" spans="1:3" x14ac:dyDescent="0.25">
      <c r="A15" s="1" t="s">
        <v>18</v>
      </c>
      <c r="B15">
        <v>5</v>
      </c>
      <c r="C15" s="1" t="s">
        <v>11</v>
      </c>
    </row>
    <row r="16" spans="1:3" x14ac:dyDescent="0.25">
      <c r="A16" s="1" t="s">
        <v>19</v>
      </c>
      <c r="B16">
        <v>1</v>
      </c>
      <c r="C16" s="1" t="s">
        <v>4</v>
      </c>
    </row>
    <row r="17" spans="1:3" x14ac:dyDescent="0.25">
      <c r="A17" s="1" t="s">
        <v>20</v>
      </c>
      <c r="B17">
        <v>2</v>
      </c>
      <c r="C17" s="1" t="s">
        <v>4</v>
      </c>
    </row>
    <row r="18" spans="1:3" x14ac:dyDescent="0.25">
      <c r="A18" s="1" t="s">
        <v>21</v>
      </c>
      <c r="B18">
        <v>3</v>
      </c>
      <c r="C18" s="1" t="s">
        <v>4</v>
      </c>
    </row>
    <row r="19" spans="1:3" x14ac:dyDescent="0.25">
      <c r="A19" s="1" t="s">
        <v>22</v>
      </c>
      <c r="B19">
        <v>4</v>
      </c>
      <c r="C19" s="1" t="s">
        <v>4</v>
      </c>
    </row>
    <row r="20" spans="1:3" x14ac:dyDescent="0.25">
      <c r="A20" s="1" t="s">
        <v>23</v>
      </c>
      <c r="B20">
        <v>5</v>
      </c>
      <c r="C20" s="1" t="s">
        <v>4</v>
      </c>
    </row>
    <row r="21" spans="1:3" x14ac:dyDescent="0.25">
      <c r="A21" s="1" t="s">
        <v>24</v>
      </c>
      <c r="B21">
        <v>1</v>
      </c>
      <c r="C21" s="1" t="s">
        <v>4</v>
      </c>
    </row>
    <row r="22" spans="1:3" x14ac:dyDescent="0.25">
      <c r="A22" s="1" t="s">
        <v>25</v>
      </c>
      <c r="B22">
        <v>2</v>
      </c>
      <c r="C22" s="1" t="s">
        <v>11</v>
      </c>
    </row>
    <row r="23" spans="1:3" x14ac:dyDescent="0.25">
      <c r="A23" s="1" t="s">
        <v>26</v>
      </c>
      <c r="B23">
        <v>3</v>
      </c>
      <c r="C23" s="1" t="s">
        <v>4</v>
      </c>
    </row>
    <row r="24" spans="1:3" x14ac:dyDescent="0.25">
      <c r="A24" s="1" t="s">
        <v>27</v>
      </c>
      <c r="B24">
        <v>4</v>
      </c>
      <c r="C24" s="1" t="s">
        <v>4</v>
      </c>
    </row>
    <row r="25" spans="1:3" x14ac:dyDescent="0.25">
      <c r="A25" s="1" t="s">
        <v>28</v>
      </c>
      <c r="B25">
        <v>5</v>
      </c>
      <c r="C25" s="1" t="s">
        <v>4</v>
      </c>
    </row>
    <row r="26" spans="1:3" x14ac:dyDescent="0.25">
      <c r="A26" s="1" t="s">
        <v>29</v>
      </c>
      <c r="B26">
        <v>1</v>
      </c>
      <c r="C26" s="1" t="s">
        <v>4</v>
      </c>
    </row>
    <row r="27" spans="1:3" x14ac:dyDescent="0.25">
      <c r="A27" s="1" t="s">
        <v>30</v>
      </c>
      <c r="B27">
        <v>2</v>
      </c>
      <c r="C27" s="1" t="s">
        <v>4</v>
      </c>
    </row>
    <row r="28" spans="1:3" x14ac:dyDescent="0.25">
      <c r="A28" s="1" t="s">
        <v>31</v>
      </c>
      <c r="B28">
        <v>3</v>
      </c>
      <c r="C28" s="1" t="s">
        <v>4</v>
      </c>
    </row>
    <row r="29" spans="1:3" x14ac:dyDescent="0.25">
      <c r="A29" s="1" t="s">
        <v>32</v>
      </c>
      <c r="B29">
        <v>4</v>
      </c>
      <c r="C29" s="1" t="s">
        <v>11</v>
      </c>
    </row>
    <row r="30" spans="1:3" x14ac:dyDescent="0.25">
      <c r="A30" s="1" t="s">
        <v>33</v>
      </c>
      <c r="B30">
        <v>5</v>
      </c>
      <c r="C30" s="1" t="s">
        <v>4</v>
      </c>
    </row>
    <row r="31" spans="1:3" x14ac:dyDescent="0.25">
      <c r="A31" s="1" t="s">
        <v>34</v>
      </c>
      <c r="B31">
        <v>1</v>
      </c>
      <c r="C31" s="1" t="s">
        <v>4</v>
      </c>
    </row>
    <row r="32" spans="1:3" x14ac:dyDescent="0.25">
      <c r="A32" s="1" t="s">
        <v>35</v>
      </c>
      <c r="B32">
        <v>2</v>
      </c>
      <c r="C32" s="1" t="s">
        <v>4</v>
      </c>
    </row>
    <row r="33" spans="1:3" x14ac:dyDescent="0.25">
      <c r="A33" s="1" t="s">
        <v>36</v>
      </c>
      <c r="B33">
        <v>3</v>
      </c>
      <c r="C33" s="1" t="s">
        <v>4</v>
      </c>
    </row>
    <row r="34" spans="1:3" x14ac:dyDescent="0.25">
      <c r="A34" s="1" t="s">
        <v>37</v>
      </c>
      <c r="B34">
        <v>4</v>
      </c>
      <c r="C34" s="1" t="s">
        <v>4</v>
      </c>
    </row>
    <row r="35" spans="1:3" x14ac:dyDescent="0.25">
      <c r="A35" s="1" t="s">
        <v>38</v>
      </c>
      <c r="B35">
        <v>5</v>
      </c>
      <c r="C35" s="1" t="s">
        <v>4</v>
      </c>
    </row>
    <row r="36" spans="1:3" x14ac:dyDescent="0.25">
      <c r="A36" s="1" t="s">
        <v>39</v>
      </c>
      <c r="B36">
        <v>1</v>
      </c>
      <c r="C36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6E40-9E9C-47ED-8B01-A4A5EBE903D2}">
  <dimension ref="A1:N36"/>
  <sheetViews>
    <sheetView tabSelected="1" workbookViewId="0">
      <selection activeCell="N2" sqref="N2"/>
    </sheetView>
  </sheetViews>
  <sheetFormatPr defaultRowHeight="15" x14ac:dyDescent="0.25"/>
  <cols>
    <col min="1" max="1" width="13" bestFit="1" customWidth="1"/>
    <col min="2" max="2" width="17.42578125" bestFit="1" customWidth="1"/>
    <col min="3" max="3" width="17.42578125" customWidth="1"/>
    <col min="4" max="4" width="14.5703125" style="2" bestFit="1" customWidth="1"/>
    <col min="5" max="5" width="10" bestFit="1" customWidth="1"/>
    <col min="6" max="6" width="21.85546875" bestFit="1" customWidth="1"/>
    <col min="7" max="7" width="16.42578125" bestFit="1" customWidth="1"/>
    <col min="8" max="8" width="21.28515625" bestFit="1" customWidth="1"/>
    <col min="9" max="9" width="11.42578125" bestFit="1" customWidth="1"/>
    <col min="10" max="10" width="14.140625" bestFit="1" customWidth="1"/>
    <col min="13" max="13" width="11.42578125" bestFit="1" customWidth="1"/>
  </cols>
  <sheetData>
    <row r="1" spans="1:14" x14ac:dyDescent="0.25">
      <c r="A1" t="s">
        <v>84</v>
      </c>
      <c r="B1" t="s">
        <v>92</v>
      </c>
      <c r="C1" t="s">
        <v>93</v>
      </c>
      <c r="D1" s="2" t="s">
        <v>85</v>
      </c>
      <c r="E1" t="s">
        <v>86</v>
      </c>
      <c r="F1" t="s">
        <v>87</v>
      </c>
      <c r="G1" t="s">
        <v>88</v>
      </c>
      <c r="H1" t="s">
        <v>167</v>
      </c>
      <c r="I1" t="s">
        <v>168</v>
      </c>
      <c r="J1" t="s">
        <v>41</v>
      </c>
      <c r="K1" t="s">
        <v>42</v>
      </c>
      <c r="L1" t="s">
        <v>43</v>
      </c>
      <c r="M1" t="s">
        <v>80</v>
      </c>
      <c r="N1" t="s">
        <v>169</v>
      </c>
    </row>
    <row r="2" spans="1:14" x14ac:dyDescent="0.25">
      <c r="A2" s="1" t="s">
        <v>3</v>
      </c>
      <c r="B2" s="1" t="s">
        <v>118</v>
      </c>
      <c r="C2" s="1" t="s">
        <v>140</v>
      </c>
      <c r="D2" s="2">
        <v>30814</v>
      </c>
      <c r="E2" s="1" t="s">
        <v>89</v>
      </c>
      <c r="F2" s="1" t="s">
        <v>90</v>
      </c>
      <c r="G2" s="1" t="s">
        <v>166</v>
      </c>
      <c r="H2" s="1">
        <f>_xlfn.XLOOKUP(messy_patient_details[[#This Row],[ Patient ID ]],Appointments!A:A,Appointments!B:B,"Not recorded")</f>
        <v>2</v>
      </c>
      <c r="I2" s="1" t="str">
        <f>_xlfn.XLOOKUP(messy_patient_details[[#This Row],[ Patient ID ]],Appointments!A:A,Appointments!C:C,"Not recorded")</f>
        <v>No</v>
      </c>
      <c r="J2" s="1" t="str">
        <f>_xlfn.XLOOKUP(messy_patient_details[[#This Row],[ Patient ID ]],patient_attendance!A:A,patient_attendance!C:C,"Not recorded")</f>
        <v>Cardiology</v>
      </c>
      <c r="K2" s="1">
        <f>_xlfn.XLOOKUP(messy_patient_details[[#This Row],[ Patient ID ]],patient_attendance!A:A,patient_attendance!D:D,"Not recorded")</f>
        <v>2025</v>
      </c>
      <c r="L2" s="1">
        <f>_xlfn.XLOOKUP(messy_patient_details[[#This Row],[ Patient ID ]],patient_attendance!A:A,patient_attendance!E:E,"Not recorded")</f>
        <v>2</v>
      </c>
      <c r="M2" s="1" t="str">
        <f>_xlfn.XLOOKUP(messy_patient_details[[#This Row],[ Patient ID ]],patient_outcome!A:A,patient_outcome!B:B,"Not recorded")</f>
        <v>Ongoing</v>
      </c>
      <c r="N2" s="1" t="str">
        <f>_xlfn.XLOOKUP(messy_patient_details[[#This Row],[ Patient ID ]],patient_outcome!A:A,patient_outcome!C:C,"Not recorded")</f>
        <v>Yes</v>
      </c>
    </row>
    <row r="3" spans="1:14" x14ac:dyDescent="0.25">
      <c r="A3" s="1" t="s">
        <v>5</v>
      </c>
      <c r="B3" s="1" t="s">
        <v>94</v>
      </c>
      <c r="C3" s="1" t="s">
        <v>141</v>
      </c>
      <c r="D3" s="2">
        <v>25720</v>
      </c>
      <c r="E3" s="1" t="s">
        <v>89</v>
      </c>
      <c r="F3" s="1" t="s">
        <v>164</v>
      </c>
      <c r="G3" s="1" t="s">
        <v>166</v>
      </c>
      <c r="H3" s="1">
        <f>_xlfn.XLOOKUP(messy_patient_details[[#This Row],[ Patient ID ]],Appointments!A:A,Appointments!B:B,"Not recorded")</f>
        <v>3</v>
      </c>
      <c r="I3" s="1" t="str">
        <f>_xlfn.XLOOKUP(messy_patient_details[[#This Row],[ Patient ID ]],Appointments!A:A,Appointments!C:C,"Not recorded")</f>
        <v>No</v>
      </c>
      <c r="J3" s="1" t="str">
        <f>_xlfn.XLOOKUP(messy_patient_details[[#This Row],[ Patient ID ]],patient_attendance!A:A,patient_attendance!C:C,"Not recorded")</f>
        <v>Cardiology</v>
      </c>
      <c r="K3" s="1">
        <f>_xlfn.XLOOKUP(messy_patient_details[[#This Row],[ Patient ID ]],patient_attendance!A:A,patient_attendance!D:D,"Not recorded")</f>
        <v>2025</v>
      </c>
      <c r="L3" s="1">
        <f>_xlfn.XLOOKUP(messy_patient_details[[#This Row],[ Patient ID ]],patient_attendance!A:A,patient_attendance!E:E,"Not recorded")</f>
        <v>3</v>
      </c>
      <c r="M3" s="1" t="str">
        <f>_xlfn.XLOOKUP(messy_patient_details[[#This Row],[ Patient ID ]],patient_outcome!A:A,patient_outcome!B:B,"Not recorded")</f>
        <v>Improved</v>
      </c>
      <c r="N3" s="1" t="str">
        <f>_xlfn.XLOOKUP(messy_patient_details[[#This Row],[ Patient ID ]],patient_outcome!A:A,patient_outcome!C:C,"Not recorded")</f>
        <v>No</v>
      </c>
    </row>
    <row r="4" spans="1:14" x14ac:dyDescent="0.25">
      <c r="A4" s="1" t="s">
        <v>6</v>
      </c>
      <c r="B4" s="1" t="s">
        <v>95</v>
      </c>
      <c r="C4" s="1" t="s">
        <v>142</v>
      </c>
      <c r="D4" s="2">
        <v>25720</v>
      </c>
      <c r="E4" s="1" t="s">
        <v>91</v>
      </c>
      <c r="F4" s="1" t="s">
        <v>164</v>
      </c>
      <c r="G4" s="1" t="s">
        <v>166</v>
      </c>
      <c r="H4" s="1">
        <f>_xlfn.XLOOKUP(messy_patient_details[[#This Row],[ Patient ID ]],Appointments!A:A,Appointments!B:B,"Not recorded")</f>
        <v>4</v>
      </c>
      <c r="I4" s="1" t="str">
        <f>_xlfn.XLOOKUP(messy_patient_details[[#This Row],[ Patient ID ]],Appointments!A:A,Appointments!C:C,"Not recorded")</f>
        <v>No</v>
      </c>
      <c r="J4" s="1" t="str">
        <f>_xlfn.XLOOKUP(messy_patient_details[[#This Row],[ Patient ID ]],patient_attendance!A:A,patient_attendance!C:C,"Not recorded")</f>
        <v>Cardiology</v>
      </c>
      <c r="K4" s="1">
        <f>_xlfn.XLOOKUP(messy_patient_details[[#This Row],[ Patient ID ]],patient_attendance!A:A,patient_attendance!D:D,"Not recorded")</f>
        <v>2025</v>
      </c>
      <c r="L4" s="1">
        <f>_xlfn.XLOOKUP(messy_patient_details[[#This Row],[ Patient ID ]],patient_attendance!A:A,patient_attendance!E:E,"Not recorded")</f>
        <v>4</v>
      </c>
      <c r="M4" s="1" t="str">
        <f>_xlfn.XLOOKUP(messy_patient_details[[#This Row],[ Patient ID ]],patient_outcome!A:A,patient_outcome!B:B,"Not recorded")</f>
        <v>Improved</v>
      </c>
      <c r="N4" s="1" t="str">
        <f>_xlfn.XLOOKUP(messy_patient_details[[#This Row],[ Patient ID ]],patient_outcome!A:A,patient_outcome!C:C,"Not recorded")</f>
        <v>No</v>
      </c>
    </row>
    <row r="5" spans="1:14" x14ac:dyDescent="0.25">
      <c r="A5" s="1" t="s">
        <v>7</v>
      </c>
      <c r="B5" s="1" t="s">
        <v>96</v>
      </c>
      <c r="C5" s="1" t="s">
        <v>143</v>
      </c>
      <c r="D5" s="2">
        <v>25720</v>
      </c>
      <c r="E5" s="1" t="s">
        <v>91</v>
      </c>
      <c r="F5" s="1" t="s">
        <v>90</v>
      </c>
      <c r="G5" s="1" t="s">
        <v>166</v>
      </c>
      <c r="H5" s="1">
        <f>_xlfn.XLOOKUP(messy_patient_details[[#This Row],[ Patient ID ]],Appointments!A:A,Appointments!B:B,"Not recorded")</f>
        <v>5</v>
      </c>
      <c r="I5" s="1" t="str">
        <f>_xlfn.XLOOKUP(messy_patient_details[[#This Row],[ Patient ID ]],Appointments!A:A,Appointments!C:C,"Not recorded")</f>
        <v>No</v>
      </c>
      <c r="J5" s="1" t="str">
        <f>_xlfn.XLOOKUP(messy_patient_details[[#This Row],[ Patient ID ]],patient_attendance!A:A,patient_attendance!C:C,"Not recorded")</f>
        <v>Cardiology</v>
      </c>
      <c r="K5" s="1">
        <f>_xlfn.XLOOKUP(messy_patient_details[[#This Row],[ Patient ID ]],patient_attendance!A:A,patient_attendance!D:D,"Not recorded")</f>
        <v>2025</v>
      </c>
      <c r="L5" s="1">
        <f>_xlfn.XLOOKUP(messy_patient_details[[#This Row],[ Patient ID ]],patient_attendance!A:A,patient_attendance!E:E,"Not recorded")</f>
        <v>5</v>
      </c>
      <c r="M5" s="1" t="str">
        <f>_xlfn.XLOOKUP(messy_patient_details[[#This Row],[ Patient ID ]],patient_outcome!A:A,patient_outcome!B:B,"Not recorded")</f>
        <v>Improved</v>
      </c>
      <c r="N5" s="1" t="str">
        <f>_xlfn.XLOOKUP(messy_patient_details[[#This Row],[ Patient ID ]],patient_outcome!A:A,patient_outcome!C:C,"Not recorded")</f>
        <v>No</v>
      </c>
    </row>
    <row r="6" spans="1:14" x14ac:dyDescent="0.25">
      <c r="A6" s="1" t="s">
        <v>8</v>
      </c>
      <c r="B6" s="1" t="s">
        <v>97</v>
      </c>
      <c r="C6" s="1" t="s">
        <v>144</v>
      </c>
      <c r="D6" s="2">
        <v>30814</v>
      </c>
      <c r="E6" s="1" t="s">
        <v>89</v>
      </c>
      <c r="F6" s="1" t="s">
        <v>90</v>
      </c>
      <c r="G6" s="1" t="s">
        <v>166</v>
      </c>
      <c r="H6" s="1">
        <f>_xlfn.XLOOKUP(messy_patient_details[[#This Row],[ Patient ID ]],Appointments!A:A,Appointments!B:B,"Not recorded")</f>
        <v>1</v>
      </c>
      <c r="I6" s="1" t="str">
        <f>_xlfn.XLOOKUP(messy_patient_details[[#This Row],[ Patient ID ]],Appointments!A:A,Appointments!C:C,"Not recorded")</f>
        <v>No</v>
      </c>
      <c r="J6" s="1" t="str">
        <f>_xlfn.XLOOKUP(messy_patient_details[[#This Row],[ Patient ID ]],patient_attendance!A:A,patient_attendance!C:C,"Not recorded")</f>
        <v>Cardiology</v>
      </c>
      <c r="K6" s="1">
        <f>_xlfn.XLOOKUP(messy_patient_details[[#This Row],[ Patient ID ]],patient_attendance!A:A,patient_attendance!D:D,"Not recorded")</f>
        <v>2025</v>
      </c>
      <c r="L6" s="1">
        <f>_xlfn.XLOOKUP(messy_patient_details[[#This Row],[ Patient ID ]],patient_attendance!A:A,patient_attendance!E:E,"Not recorded")</f>
        <v>6</v>
      </c>
      <c r="M6" s="1" t="str">
        <f>_xlfn.XLOOKUP(messy_patient_details[[#This Row],[ Patient ID ]],patient_outcome!A:A,patient_outcome!B:B,"Not recorded")</f>
        <v>Ongoing</v>
      </c>
      <c r="N6" s="1" t="str">
        <f>_xlfn.XLOOKUP(messy_patient_details[[#This Row],[ Patient ID ]],patient_outcome!A:A,patient_outcome!C:C,"Not recorded")</f>
        <v>No</v>
      </c>
    </row>
    <row r="7" spans="1:14" x14ac:dyDescent="0.25">
      <c r="A7" s="1" t="s">
        <v>9</v>
      </c>
      <c r="B7" s="1" t="s">
        <v>119</v>
      </c>
      <c r="C7" s="1" t="s">
        <v>145</v>
      </c>
      <c r="D7" s="2">
        <v>25720</v>
      </c>
      <c r="E7" s="1" t="s">
        <v>91</v>
      </c>
      <c r="F7" s="1" t="s">
        <v>90</v>
      </c>
      <c r="G7" s="1" t="s">
        <v>166</v>
      </c>
      <c r="H7" s="1">
        <f>_xlfn.XLOOKUP(messy_patient_details[[#This Row],[ Patient ID ]],Appointments!A:A,Appointments!B:B,"Not recorded")</f>
        <v>2</v>
      </c>
      <c r="I7" s="1" t="str">
        <f>_xlfn.XLOOKUP(messy_patient_details[[#This Row],[ Patient ID ]],Appointments!A:A,Appointments!C:C,"Not recorded")</f>
        <v>No</v>
      </c>
      <c r="J7" s="1" t="str">
        <f>_xlfn.XLOOKUP(messy_patient_details[[#This Row],[ Patient ID ]],patient_attendance!A:A,patient_attendance!C:C,"Not recorded")</f>
        <v>Cardiology</v>
      </c>
      <c r="K7" s="1">
        <f>_xlfn.XLOOKUP(messy_patient_details[[#This Row],[ Patient ID ]],patient_attendance!A:A,patient_attendance!D:D,"Not recorded")</f>
        <v>2025</v>
      </c>
      <c r="L7" s="1">
        <f>_xlfn.XLOOKUP(messy_patient_details[[#This Row],[ Patient ID ]],patient_attendance!A:A,patient_attendance!E:E,"Not recorded")</f>
        <v>7</v>
      </c>
      <c r="M7" s="1" t="str">
        <f>_xlfn.XLOOKUP(messy_patient_details[[#This Row],[ Patient ID ]],patient_outcome!A:A,patient_outcome!B:B,"Not recorded")</f>
        <v>Improved</v>
      </c>
      <c r="N7" s="1" t="str">
        <f>_xlfn.XLOOKUP(messy_patient_details[[#This Row],[ Patient ID ]],patient_outcome!A:A,patient_outcome!C:C,"Not recorded")</f>
        <v>No</v>
      </c>
    </row>
    <row r="8" spans="1:14" x14ac:dyDescent="0.25">
      <c r="A8" s="1" t="s">
        <v>10</v>
      </c>
      <c r="B8" s="1" t="s">
        <v>120</v>
      </c>
      <c r="C8" s="1" t="s">
        <v>98</v>
      </c>
      <c r="D8" s="2">
        <v>25720</v>
      </c>
      <c r="E8" s="1" t="s">
        <v>89</v>
      </c>
      <c r="F8" s="1" t="s">
        <v>90</v>
      </c>
      <c r="G8" s="1" t="s">
        <v>165</v>
      </c>
      <c r="H8" s="1">
        <f>_xlfn.XLOOKUP(messy_patient_details[[#This Row],[ Patient ID ]],Appointments!A:A,Appointments!B:B,"Not recorded")</f>
        <v>3</v>
      </c>
      <c r="I8" s="1" t="str">
        <f>_xlfn.XLOOKUP(messy_patient_details[[#This Row],[ Patient ID ]],Appointments!A:A,Appointments!C:C,"Not recorded")</f>
        <v>Yes</v>
      </c>
      <c r="J8" s="1" t="str">
        <f>_xlfn.XLOOKUP(messy_patient_details[[#This Row],[ Patient ID ]],patient_attendance!A:A,patient_attendance!C:C,"Not recorded")</f>
        <v>Cardiology</v>
      </c>
      <c r="K8" s="1">
        <f>_xlfn.XLOOKUP(messy_patient_details[[#This Row],[ Patient ID ]],patient_attendance!A:A,patient_attendance!D:D,"Not recorded")</f>
        <v>2025</v>
      </c>
      <c r="L8" s="1">
        <f>_xlfn.XLOOKUP(messy_patient_details[[#This Row],[ Patient ID ]],patient_attendance!A:A,patient_attendance!E:E,"Not recorded")</f>
        <v>8</v>
      </c>
      <c r="M8" s="1" t="str">
        <f>_xlfn.XLOOKUP(messy_patient_details[[#This Row],[ Patient ID ]],patient_outcome!A:A,patient_outcome!B:B,"Not recorded")</f>
        <v>Improved</v>
      </c>
      <c r="N8" s="1" t="str">
        <f>_xlfn.XLOOKUP(messy_patient_details[[#This Row],[ Patient ID ]],patient_outcome!A:A,patient_outcome!C:C,"Not recorded")</f>
        <v>Yes</v>
      </c>
    </row>
    <row r="9" spans="1:14" x14ac:dyDescent="0.25">
      <c r="A9" s="1" t="s">
        <v>12</v>
      </c>
      <c r="B9" s="1" t="s">
        <v>121</v>
      </c>
      <c r="C9" s="1" t="s">
        <v>99</v>
      </c>
      <c r="D9" s="2">
        <v>25574</v>
      </c>
      <c r="E9" s="1" t="s">
        <v>91</v>
      </c>
      <c r="F9" s="1" t="s">
        <v>90</v>
      </c>
      <c r="G9" s="1" t="s">
        <v>166</v>
      </c>
      <c r="H9" s="1">
        <f>_xlfn.XLOOKUP(messy_patient_details[[#This Row],[ Patient ID ]],Appointments!A:A,Appointments!B:B,"Not recorded")</f>
        <v>4</v>
      </c>
      <c r="I9" s="1" t="str">
        <f>_xlfn.XLOOKUP(messy_patient_details[[#This Row],[ Patient ID ]],Appointments!A:A,Appointments!C:C,"Not recorded")</f>
        <v>No</v>
      </c>
      <c r="J9" s="1" t="str">
        <f>_xlfn.XLOOKUP(messy_patient_details[[#This Row],[ Patient ID ]],patient_attendance!A:A,patient_attendance!C:C,"Not recorded")</f>
        <v>Cardiology</v>
      </c>
      <c r="K9" s="1">
        <f>_xlfn.XLOOKUP(messy_patient_details[[#This Row],[ Patient ID ]],patient_attendance!A:A,patient_attendance!D:D,"Not recorded")</f>
        <v>2025</v>
      </c>
      <c r="L9" s="1">
        <f>_xlfn.XLOOKUP(messy_patient_details[[#This Row],[ Patient ID ]],patient_attendance!A:A,patient_attendance!E:E,"Not recorded")</f>
        <v>9</v>
      </c>
      <c r="M9" s="1" t="str">
        <f>_xlfn.XLOOKUP(messy_patient_details[[#This Row],[ Patient ID ]],patient_outcome!A:A,patient_outcome!B:B,"Not recorded")</f>
        <v>Improved</v>
      </c>
      <c r="N9" s="1" t="str">
        <f>_xlfn.XLOOKUP(messy_patient_details[[#This Row],[ Patient ID ]],patient_outcome!A:A,patient_outcome!C:C,"Not recorded")</f>
        <v>No</v>
      </c>
    </row>
    <row r="10" spans="1:14" x14ac:dyDescent="0.25">
      <c r="A10" s="1" t="s">
        <v>13</v>
      </c>
      <c r="B10" s="1" t="s">
        <v>100</v>
      </c>
      <c r="C10" s="1" t="s">
        <v>146</v>
      </c>
      <c r="D10" s="2">
        <v>30814</v>
      </c>
      <c r="E10" s="1" t="s">
        <v>89</v>
      </c>
      <c r="F10" s="1" t="s">
        <v>164</v>
      </c>
      <c r="G10" s="1" t="s">
        <v>165</v>
      </c>
      <c r="H10" s="1">
        <f>_xlfn.XLOOKUP(messy_patient_details[[#This Row],[ Patient ID ]],Appointments!A:A,Appointments!B:B,"Not recorded")</f>
        <v>5</v>
      </c>
      <c r="I10" s="1" t="str">
        <f>_xlfn.XLOOKUP(messy_patient_details[[#This Row],[ Patient ID ]],Appointments!A:A,Appointments!C:C,"Not recorded")</f>
        <v>No</v>
      </c>
      <c r="J10" s="1" t="str">
        <f>_xlfn.XLOOKUP(messy_patient_details[[#This Row],[ Patient ID ]],patient_attendance!A:A,patient_attendance!C:C,"Not recorded")</f>
        <v>Cardiology</v>
      </c>
      <c r="K10" s="1">
        <f>_xlfn.XLOOKUP(messy_patient_details[[#This Row],[ Patient ID ]],patient_attendance!A:A,patient_attendance!D:D,"Not recorded")</f>
        <v>2025</v>
      </c>
      <c r="L10" s="1">
        <f>_xlfn.XLOOKUP(messy_patient_details[[#This Row],[ Patient ID ]],patient_attendance!A:A,patient_attendance!E:E,"Not recorded")</f>
        <v>10</v>
      </c>
      <c r="M10" s="1" t="str">
        <f>_xlfn.XLOOKUP(messy_patient_details[[#This Row],[ Patient ID ]],patient_outcome!A:A,patient_outcome!B:B,"Not recorded")</f>
        <v>Ongoing</v>
      </c>
      <c r="N10" s="1" t="str">
        <f>_xlfn.XLOOKUP(messy_patient_details[[#This Row],[ Patient ID ]],patient_outcome!A:A,patient_outcome!C:C,"Not recorded")</f>
        <v>No</v>
      </c>
    </row>
    <row r="11" spans="1:14" x14ac:dyDescent="0.25">
      <c r="A11" s="1" t="s">
        <v>14</v>
      </c>
      <c r="B11" s="1" t="s">
        <v>101</v>
      </c>
      <c r="C11" s="1" t="s">
        <v>147</v>
      </c>
      <c r="D11" s="2">
        <v>33200</v>
      </c>
      <c r="E11" s="1" t="s">
        <v>91</v>
      </c>
      <c r="F11" s="1" t="s">
        <v>164</v>
      </c>
      <c r="G11" s="1" t="s">
        <v>165</v>
      </c>
      <c r="H11" s="1">
        <f>_xlfn.XLOOKUP(messy_patient_details[[#This Row],[ Patient ID ]],Appointments!A:A,Appointments!B:B,"Not recorded")</f>
        <v>1</v>
      </c>
      <c r="I11" s="1" t="str">
        <f>_xlfn.XLOOKUP(messy_patient_details[[#This Row],[ Patient ID ]],Appointments!A:A,Appointments!C:C,"Not recorded")</f>
        <v>No</v>
      </c>
      <c r="J11" s="1" t="str">
        <f>_xlfn.XLOOKUP(messy_patient_details[[#This Row],[ Patient ID ]],patient_attendance!A:A,patient_attendance!C:C,"Not recorded")</f>
        <v>Cardiology</v>
      </c>
      <c r="K11" s="1">
        <f>_xlfn.XLOOKUP(messy_patient_details[[#This Row],[ Patient ID ]],patient_attendance!A:A,patient_attendance!D:D,"Not recorded")</f>
        <v>2025</v>
      </c>
      <c r="L11" s="1">
        <f>_xlfn.XLOOKUP(messy_patient_details[[#This Row],[ Patient ID ]],patient_attendance!A:A,patient_attendance!E:E,"Not recorded")</f>
        <v>11</v>
      </c>
      <c r="M11" s="1" t="str">
        <f>_xlfn.XLOOKUP(messy_patient_details[[#This Row],[ Patient ID ]],patient_outcome!A:A,patient_outcome!B:B,"Not recorded")</f>
        <v>Improved</v>
      </c>
      <c r="N11" s="1" t="str">
        <f>_xlfn.XLOOKUP(messy_patient_details[[#This Row],[ Patient ID ]],patient_outcome!A:A,patient_outcome!C:C,"Not recorded")</f>
        <v>No</v>
      </c>
    </row>
    <row r="12" spans="1:14" x14ac:dyDescent="0.25">
      <c r="A12" s="1" t="s">
        <v>15</v>
      </c>
      <c r="B12" s="1" t="s">
        <v>122</v>
      </c>
      <c r="C12" s="1" t="s">
        <v>102</v>
      </c>
      <c r="D12" s="2">
        <v>33200</v>
      </c>
      <c r="E12" s="1" t="s">
        <v>91</v>
      </c>
      <c r="F12" s="1" t="s">
        <v>90</v>
      </c>
      <c r="G12" s="1" t="s">
        <v>166</v>
      </c>
      <c r="H12" s="1">
        <f>_xlfn.XLOOKUP(messy_patient_details[[#This Row],[ Patient ID ]],Appointments!A:A,Appointments!B:B,"Not recorded")</f>
        <v>2</v>
      </c>
      <c r="I12" s="1" t="str">
        <f>_xlfn.XLOOKUP(messy_patient_details[[#This Row],[ Patient ID ]],Appointments!A:A,Appointments!C:C,"Not recorded")</f>
        <v>No</v>
      </c>
      <c r="J12" s="1" t="str">
        <f>_xlfn.XLOOKUP(messy_patient_details[[#This Row],[ Patient ID ]],patient_attendance!A:A,patient_attendance!C:C,"Not recorded")</f>
        <v>Cardiology</v>
      </c>
      <c r="K12" s="1">
        <f>_xlfn.XLOOKUP(messy_patient_details[[#This Row],[ Patient ID ]],patient_attendance!A:A,patient_attendance!D:D,"Not recorded")</f>
        <v>2025</v>
      </c>
      <c r="L12" s="1">
        <f>_xlfn.XLOOKUP(messy_patient_details[[#This Row],[ Patient ID ]],patient_attendance!A:A,patient_attendance!E:E,"Not recorded")</f>
        <v>12</v>
      </c>
      <c r="M12" s="1" t="str">
        <f>_xlfn.XLOOKUP(messy_patient_details[[#This Row],[ Patient ID ]],patient_outcome!A:A,patient_outcome!B:B,"Not recorded")</f>
        <v>Improved</v>
      </c>
      <c r="N12" s="1" t="str">
        <f>_xlfn.XLOOKUP(messy_patient_details[[#This Row],[ Patient ID ]],patient_outcome!A:A,patient_outcome!C:C,"Not recorded")</f>
        <v>No</v>
      </c>
    </row>
    <row r="13" spans="1:14" x14ac:dyDescent="0.25">
      <c r="A13" s="1" t="s">
        <v>16</v>
      </c>
      <c r="B13" s="1" t="s">
        <v>123</v>
      </c>
      <c r="C13" s="1" t="s">
        <v>148</v>
      </c>
      <c r="D13" s="2">
        <v>30814</v>
      </c>
      <c r="E13" s="1" t="s">
        <v>89</v>
      </c>
      <c r="F13" s="1" t="s">
        <v>90</v>
      </c>
      <c r="G13" s="1" t="s">
        <v>166</v>
      </c>
      <c r="H13" s="1">
        <f>_xlfn.XLOOKUP(messy_patient_details[[#This Row],[ Patient ID ]],Appointments!A:A,Appointments!B:B,"Not recorded")</f>
        <v>3</v>
      </c>
      <c r="I13" s="1" t="str">
        <f>_xlfn.XLOOKUP(messy_patient_details[[#This Row],[ Patient ID ]],Appointments!A:A,Appointments!C:C,"Not recorded")</f>
        <v>No</v>
      </c>
      <c r="J13" s="1" t="str">
        <f>_xlfn.XLOOKUP(messy_patient_details[[#This Row],[ Patient ID ]],patient_attendance!A:A,patient_attendance!C:C,"Not recorded")</f>
        <v>Cardiology</v>
      </c>
      <c r="K13" s="1">
        <f>_xlfn.XLOOKUP(messy_patient_details[[#This Row],[ Patient ID ]],patient_attendance!A:A,patient_attendance!D:D,"Not recorded")</f>
        <v>2025</v>
      </c>
      <c r="L13" s="1">
        <f>_xlfn.XLOOKUP(messy_patient_details[[#This Row],[ Patient ID ]],patient_attendance!A:A,patient_attendance!E:E,"Not recorded")</f>
        <v>1</v>
      </c>
      <c r="M13" s="1" t="str">
        <f>_xlfn.XLOOKUP(messy_patient_details[[#This Row],[ Patient ID ]],patient_outcome!A:A,patient_outcome!B:B,"Not recorded")</f>
        <v>Improved</v>
      </c>
      <c r="N13" s="1" t="str">
        <f>_xlfn.XLOOKUP(messy_patient_details[[#This Row],[ Patient ID ]],patient_outcome!A:A,patient_outcome!C:C,"Not recorded")</f>
        <v>No</v>
      </c>
    </row>
    <row r="14" spans="1:14" x14ac:dyDescent="0.25">
      <c r="A14" s="1" t="s">
        <v>17</v>
      </c>
      <c r="B14" s="1" t="s">
        <v>103</v>
      </c>
      <c r="C14" s="1" t="s">
        <v>149</v>
      </c>
      <c r="D14" s="2">
        <v>25720</v>
      </c>
      <c r="E14" s="1" t="s">
        <v>89</v>
      </c>
      <c r="F14" s="1" t="s">
        <v>90</v>
      </c>
      <c r="G14" s="1" t="s">
        <v>165</v>
      </c>
      <c r="H14" s="1">
        <f>_xlfn.XLOOKUP(messy_patient_details[[#This Row],[ Patient ID ]],Appointments!A:A,Appointments!B:B,"Not recorded")</f>
        <v>4</v>
      </c>
      <c r="I14" s="1" t="str">
        <f>_xlfn.XLOOKUP(messy_patient_details[[#This Row],[ Patient ID ]],Appointments!A:A,Appointments!C:C,"Not recorded")</f>
        <v>No</v>
      </c>
      <c r="J14" s="1" t="str">
        <f>_xlfn.XLOOKUP(messy_patient_details[[#This Row],[ Patient ID ]],patient_attendance!A:A,patient_attendance!C:C,"Not recorded")</f>
        <v>Cardiology</v>
      </c>
      <c r="K14" s="1">
        <f>_xlfn.XLOOKUP(messy_patient_details[[#This Row],[ Patient ID ]],patient_attendance!A:A,patient_attendance!D:D,"Not recorded")</f>
        <v>2025</v>
      </c>
      <c r="L14" s="1">
        <f>_xlfn.XLOOKUP(messy_patient_details[[#This Row],[ Patient ID ]],patient_attendance!A:A,patient_attendance!E:E,"Not recorded")</f>
        <v>2</v>
      </c>
      <c r="M14" s="1" t="str">
        <f>_xlfn.XLOOKUP(messy_patient_details[[#This Row],[ Patient ID ]],patient_outcome!A:A,patient_outcome!B:B,"Not recorded")</f>
        <v>Ongoing</v>
      </c>
      <c r="N14" s="1" t="str">
        <f>_xlfn.XLOOKUP(messy_patient_details[[#This Row],[ Patient ID ]],patient_outcome!A:A,patient_outcome!C:C,"Not recorded")</f>
        <v>Yes</v>
      </c>
    </row>
    <row r="15" spans="1:14" x14ac:dyDescent="0.25">
      <c r="A15" s="1" t="s">
        <v>18</v>
      </c>
      <c r="B15" s="1" t="s">
        <v>124</v>
      </c>
      <c r="C15" s="1" t="s">
        <v>150</v>
      </c>
      <c r="D15" s="2">
        <v>25720</v>
      </c>
      <c r="E15" s="1" t="s">
        <v>91</v>
      </c>
      <c r="F15" s="1" t="s">
        <v>90</v>
      </c>
      <c r="G15" s="1" t="s">
        <v>165</v>
      </c>
      <c r="H15" s="1">
        <f>_xlfn.XLOOKUP(messy_patient_details[[#This Row],[ Patient ID ]],Appointments!A:A,Appointments!B:B,"Not recorded")</f>
        <v>5</v>
      </c>
      <c r="I15" s="1" t="str">
        <f>_xlfn.XLOOKUP(messy_patient_details[[#This Row],[ Patient ID ]],Appointments!A:A,Appointments!C:C,"Not recorded")</f>
        <v>Yes</v>
      </c>
      <c r="J15" s="1" t="str">
        <f>_xlfn.XLOOKUP(messy_patient_details[[#This Row],[ Patient ID ]],patient_attendance!A:A,patient_attendance!C:C,"Not recorded")</f>
        <v>Cardiology</v>
      </c>
      <c r="K15" s="1">
        <f>_xlfn.XLOOKUP(messy_patient_details[[#This Row],[ Patient ID ]],patient_attendance!A:A,patient_attendance!D:D,"Not recorded")</f>
        <v>2025</v>
      </c>
      <c r="L15" s="1">
        <f>_xlfn.XLOOKUP(messy_patient_details[[#This Row],[ Patient ID ]],patient_attendance!A:A,patient_attendance!E:E,"Not recorded")</f>
        <v>3</v>
      </c>
      <c r="M15" s="1" t="str">
        <f>_xlfn.XLOOKUP(messy_patient_details[[#This Row],[ Patient ID ]],patient_outcome!A:A,patient_outcome!B:B,"Not recorded")</f>
        <v>Improved</v>
      </c>
      <c r="N15" s="1" t="str">
        <f>_xlfn.XLOOKUP(messy_patient_details[[#This Row],[ Patient ID ]],patient_outcome!A:A,patient_outcome!C:C,"Not recorded")</f>
        <v>No</v>
      </c>
    </row>
    <row r="16" spans="1:14" x14ac:dyDescent="0.25">
      <c r="A16" s="1" t="s">
        <v>19</v>
      </c>
      <c r="B16" s="1" t="s">
        <v>125</v>
      </c>
      <c r="C16" s="1" t="s">
        <v>104</v>
      </c>
      <c r="D16" s="2">
        <v>25720</v>
      </c>
      <c r="E16" s="1" t="s">
        <v>89</v>
      </c>
      <c r="F16" s="1" t="s">
        <v>164</v>
      </c>
      <c r="G16" s="1" t="s">
        <v>166</v>
      </c>
      <c r="H16" s="1">
        <f>_xlfn.XLOOKUP(messy_patient_details[[#This Row],[ Patient ID ]],Appointments!A:A,Appointments!B:B,"Not recorded")</f>
        <v>1</v>
      </c>
      <c r="I16" s="1" t="str">
        <f>_xlfn.XLOOKUP(messy_patient_details[[#This Row],[ Patient ID ]],Appointments!A:A,Appointments!C:C,"Not recorded")</f>
        <v>No</v>
      </c>
      <c r="J16" s="1" t="str">
        <f>_xlfn.XLOOKUP(messy_patient_details[[#This Row],[ Patient ID ]],patient_attendance!A:A,patient_attendance!C:C,"Not recorded")</f>
        <v>Cardiology</v>
      </c>
      <c r="K16" s="1">
        <f>_xlfn.XLOOKUP(messy_patient_details[[#This Row],[ Patient ID ]],patient_attendance!A:A,patient_attendance!D:D,"Not recorded")</f>
        <v>2025</v>
      </c>
      <c r="L16" s="1">
        <f>_xlfn.XLOOKUP(messy_patient_details[[#This Row],[ Patient ID ]],patient_attendance!A:A,patient_attendance!E:E,"Not recorded")</f>
        <v>4</v>
      </c>
      <c r="M16" s="1" t="str">
        <f>_xlfn.XLOOKUP(messy_patient_details[[#This Row],[ Patient ID ]],patient_outcome!A:A,patient_outcome!B:B,"Not recorded")</f>
        <v>Improved</v>
      </c>
      <c r="N16" s="1" t="str">
        <f>_xlfn.XLOOKUP(messy_patient_details[[#This Row],[ Patient ID ]],patient_outcome!A:A,patient_outcome!C:C,"Not recorded")</f>
        <v>No</v>
      </c>
    </row>
    <row r="17" spans="1:14" x14ac:dyDescent="0.25">
      <c r="A17" s="1" t="s">
        <v>20</v>
      </c>
      <c r="B17" s="1" t="s">
        <v>126</v>
      </c>
      <c r="C17" s="1" t="s">
        <v>105</v>
      </c>
      <c r="D17" s="2">
        <v>25720</v>
      </c>
      <c r="E17" s="1" t="s">
        <v>89</v>
      </c>
      <c r="F17" s="1" t="s">
        <v>164</v>
      </c>
      <c r="G17" s="1" t="s">
        <v>166</v>
      </c>
      <c r="H17" s="1">
        <f>_xlfn.XLOOKUP(messy_patient_details[[#This Row],[ Patient ID ]],Appointments!A:A,Appointments!B:B,"Not recorded")</f>
        <v>2</v>
      </c>
      <c r="I17" s="1" t="str">
        <f>_xlfn.XLOOKUP(messy_patient_details[[#This Row],[ Patient ID ]],Appointments!A:A,Appointments!C:C,"Not recorded")</f>
        <v>No</v>
      </c>
      <c r="J17" s="1" t="str">
        <f>_xlfn.XLOOKUP(messy_patient_details[[#This Row],[ Patient ID ]],patient_attendance!A:A,patient_attendance!C:C,"Not recorded")</f>
        <v>Cardiology</v>
      </c>
      <c r="K17" s="1">
        <f>_xlfn.XLOOKUP(messy_patient_details[[#This Row],[ Patient ID ]],patient_attendance!A:A,patient_attendance!D:D,"Not recorded")</f>
        <v>2025</v>
      </c>
      <c r="L17" s="1">
        <f>_xlfn.XLOOKUP(messy_patient_details[[#This Row],[ Patient ID ]],patient_attendance!A:A,patient_attendance!E:E,"Not recorded")</f>
        <v>5</v>
      </c>
      <c r="M17" s="1" t="str">
        <f>_xlfn.XLOOKUP(messy_patient_details[[#This Row],[ Patient ID ]],patient_outcome!A:A,patient_outcome!B:B,"Not recorded")</f>
        <v>Improved</v>
      </c>
      <c r="N17" s="1" t="str">
        <f>_xlfn.XLOOKUP(messy_patient_details[[#This Row],[ Patient ID ]],patient_outcome!A:A,patient_outcome!C:C,"Not recorded")</f>
        <v>No</v>
      </c>
    </row>
    <row r="18" spans="1:14" x14ac:dyDescent="0.25">
      <c r="A18" s="1" t="s">
        <v>21</v>
      </c>
      <c r="B18" s="1" t="s">
        <v>127</v>
      </c>
      <c r="C18" s="1" t="s">
        <v>151</v>
      </c>
      <c r="D18" s="2">
        <v>25720</v>
      </c>
      <c r="E18" s="1" t="s">
        <v>91</v>
      </c>
      <c r="F18" s="1" t="s">
        <v>90</v>
      </c>
      <c r="G18" s="1" t="s">
        <v>165</v>
      </c>
      <c r="H18" s="1">
        <f>_xlfn.XLOOKUP(messy_patient_details[[#This Row],[ Patient ID ]],Appointments!A:A,Appointments!B:B,"Not recorded")</f>
        <v>3</v>
      </c>
      <c r="I18" s="1" t="str">
        <f>_xlfn.XLOOKUP(messy_patient_details[[#This Row],[ Patient ID ]],Appointments!A:A,Appointments!C:C,"Not recorded")</f>
        <v>No</v>
      </c>
      <c r="J18" s="1" t="str">
        <f>_xlfn.XLOOKUP(messy_patient_details[[#This Row],[ Patient ID ]],patient_attendance!A:A,patient_attendance!C:C,"Not recorded")</f>
        <v>Cardiology</v>
      </c>
      <c r="K18" s="1">
        <f>_xlfn.XLOOKUP(messy_patient_details[[#This Row],[ Patient ID ]],patient_attendance!A:A,patient_attendance!D:D,"Not recorded")</f>
        <v>2025</v>
      </c>
      <c r="L18" s="1">
        <f>_xlfn.XLOOKUP(messy_patient_details[[#This Row],[ Patient ID ]],patient_attendance!A:A,patient_attendance!E:E,"Not recorded")</f>
        <v>6</v>
      </c>
      <c r="M18" s="1" t="str">
        <f>_xlfn.XLOOKUP(messy_patient_details[[#This Row],[ Patient ID ]],patient_outcome!A:A,patient_outcome!B:B,"Not recorded")</f>
        <v>Ongoing</v>
      </c>
      <c r="N18" s="1" t="str">
        <f>_xlfn.XLOOKUP(messy_patient_details[[#This Row],[ Patient ID ]],patient_outcome!A:A,patient_outcome!C:C,"Not recorded")</f>
        <v>No</v>
      </c>
    </row>
    <row r="19" spans="1:14" x14ac:dyDescent="0.25">
      <c r="A19" s="1" t="s">
        <v>22</v>
      </c>
      <c r="B19" s="1" t="s">
        <v>128</v>
      </c>
      <c r="C19" s="1" t="s">
        <v>152</v>
      </c>
      <c r="D19" s="2">
        <v>33200</v>
      </c>
      <c r="E19" s="1" t="s">
        <v>89</v>
      </c>
      <c r="F19" s="1" t="s">
        <v>90</v>
      </c>
      <c r="G19" s="1" t="s">
        <v>165</v>
      </c>
      <c r="H19" s="1">
        <f>_xlfn.XLOOKUP(messy_patient_details[[#This Row],[ Patient ID ]],Appointments!A:A,Appointments!B:B,"Not recorded")</f>
        <v>4</v>
      </c>
      <c r="I19" s="1" t="str">
        <f>_xlfn.XLOOKUP(messy_patient_details[[#This Row],[ Patient ID ]],Appointments!A:A,Appointments!C:C,"Not recorded")</f>
        <v>No</v>
      </c>
      <c r="J19" s="1" t="str">
        <f>_xlfn.XLOOKUP(messy_patient_details[[#This Row],[ Patient ID ]],patient_attendance!A:A,patient_attendance!C:C,"Not recorded")</f>
        <v>Cardiology</v>
      </c>
      <c r="K19" s="1">
        <f>_xlfn.XLOOKUP(messy_patient_details[[#This Row],[ Patient ID ]],patient_attendance!A:A,patient_attendance!D:D,"Not recorded")</f>
        <v>2025</v>
      </c>
      <c r="L19" s="1">
        <f>_xlfn.XLOOKUP(messy_patient_details[[#This Row],[ Patient ID ]],patient_attendance!A:A,patient_attendance!E:E,"Not recorded")</f>
        <v>7</v>
      </c>
      <c r="M19" s="1" t="str">
        <f>_xlfn.XLOOKUP(messy_patient_details[[#This Row],[ Patient ID ]],patient_outcome!A:A,patient_outcome!B:B,"Not recorded")</f>
        <v>Improved</v>
      </c>
      <c r="N19" s="1" t="str">
        <f>_xlfn.XLOOKUP(messy_patient_details[[#This Row],[ Patient ID ]],patient_outcome!A:A,patient_outcome!C:C,"Not recorded")</f>
        <v>No</v>
      </c>
    </row>
    <row r="20" spans="1:14" x14ac:dyDescent="0.25">
      <c r="A20" s="1" t="s">
        <v>23</v>
      </c>
      <c r="B20" s="1" t="s">
        <v>129</v>
      </c>
      <c r="C20" s="1" t="s">
        <v>106</v>
      </c>
      <c r="D20" s="2">
        <v>25720</v>
      </c>
      <c r="E20" s="1" t="s">
        <v>89</v>
      </c>
      <c r="F20" s="1" t="s">
        <v>90</v>
      </c>
      <c r="G20" s="1" t="s">
        <v>166</v>
      </c>
      <c r="H20" s="1">
        <f>_xlfn.XLOOKUP(messy_patient_details[[#This Row],[ Patient ID ]],Appointments!A:A,Appointments!B:B,"Not recorded")</f>
        <v>5</v>
      </c>
      <c r="I20" s="1" t="str">
        <f>_xlfn.XLOOKUP(messy_patient_details[[#This Row],[ Patient ID ]],Appointments!A:A,Appointments!C:C,"Not recorded")</f>
        <v>No</v>
      </c>
      <c r="J20" s="1" t="str">
        <f>_xlfn.XLOOKUP(messy_patient_details[[#This Row],[ Patient ID ]],patient_attendance!A:A,patient_attendance!C:C,"Not recorded")</f>
        <v>Cardiology</v>
      </c>
      <c r="K20" s="1">
        <f>_xlfn.XLOOKUP(messy_patient_details[[#This Row],[ Patient ID ]],patient_attendance!A:A,patient_attendance!D:D,"Not recorded")</f>
        <v>2025</v>
      </c>
      <c r="L20" s="1">
        <f>_xlfn.XLOOKUP(messy_patient_details[[#This Row],[ Patient ID ]],patient_attendance!A:A,patient_attendance!E:E,"Not recorded")</f>
        <v>8</v>
      </c>
      <c r="M20" s="1" t="str">
        <f>_xlfn.XLOOKUP(messy_patient_details[[#This Row],[ Patient ID ]],patient_outcome!A:A,patient_outcome!B:B,"Not recorded")</f>
        <v>Improved</v>
      </c>
      <c r="N20" s="1" t="str">
        <f>_xlfn.XLOOKUP(messy_patient_details[[#This Row],[ Patient ID ]],patient_outcome!A:A,patient_outcome!C:C,"Not recorded")</f>
        <v>Yes</v>
      </c>
    </row>
    <row r="21" spans="1:14" x14ac:dyDescent="0.25">
      <c r="A21" s="1" t="s">
        <v>24</v>
      </c>
      <c r="B21" s="1" t="s">
        <v>130</v>
      </c>
      <c r="C21" s="1" t="s">
        <v>107</v>
      </c>
      <c r="D21" s="2">
        <v>33200</v>
      </c>
      <c r="E21" s="1" t="s">
        <v>89</v>
      </c>
      <c r="F21" s="1" t="s">
        <v>90</v>
      </c>
      <c r="G21" s="1" t="s">
        <v>165</v>
      </c>
      <c r="H21" s="1">
        <f>_xlfn.XLOOKUP(messy_patient_details[[#This Row],[ Patient ID ]],Appointments!A:A,Appointments!B:B,"Not recorded")</f>
        <v>1</v>
      </c>
      <c r="I21" s="1" t="str">
        <f>_xlfn.XLOOKUP(messy_patient_details[[#This Row],[ Patient ID ]],Appointments!A:A,Appointments!C:C,"Not recorded")</f>
        <v>No</v>
      </c>
      <c r="J21" s="1" t="str">
        <f>_xlfn.XLOOKUP(messy_patient_details[[#This Row],[ Patient ID ]],patient_attendance!A:A,patient_attendance!C:C,"Not recorded")</f>
        <v>Cardiology</v>
      </c>
      <c r="K21" s="1">
        <f>_xlfn.XLOOKUP(messy_patient_details[[#This Row],[ Patient ID ]],patient_attendance!A:A,patient_attendance!D:D,"Not recorded")</f>
        <v>2025</v>
      </c>
      <c r="L21" s="1">
        <f>_xlfn.XLOOKUP(messy_patient_details[[#This Row],[ Patient ID ]],patient_attendance!A:A,patient_attendance!E:E,"Not recorded")</f>
        <v>9</v>
      </c>
      <c r="M21" s="1" t="str">
        <f>_xlfn.XLOOKUP(messy_patient_details[[#This Row],[ Patient ID ]],patient_outcome!A:A,patient_outcome!B:B,"Not recorded")</f>
        <v>Improved</v>
      </c>
      <c r="N21" s="1" t="str">
        <f>_xlfn.XLOOKUP(messy_patient_details[[#This Row],[ Patient ID ]],patient_outcome!A:A,patient_outcome!C:C,"Not recorded")</f>
        <v>No</v>
      </c>
    </row>
    <row r="22" spans="1:14" x14ac:dyDescent="0.25">
      <c r="A22" s="1" t="s">
        <v>25</v>
      </c>
      <c r="B22" s="1" t="s">
        <v>131</v>
      </c>
      <c r="C22" s="1" t="s">
        <v>153</v>
      </c>
      <c r="D22" s="2">
        <v>30814</v>
      </c>
      <c r="E22" s="1" t="s">
        <v>91</v>
      </c>
      <c r="F22" s="1" t="s">
        <v>90</v>
      </c>
      <c r="G22" s="1" t="s">
        <v>166</v>
      </c>
      <c r="H22" s="1">
        <f>_xlfn.XLOOKUP(messy_patient_details[[#This Row],[ Patient ID ]],Appointments!A:A,Appointments!B:B,"Not recorded")</f>
        <v>2</v>
      </c>
      <c r="I22" s="1" t="str">
        <f>_xlfn.XLOOKUP(messy_patient_details[[#This Row],[ Patient ID ]],Appointments!A:A,Appointments!C:C,"Not recorded")</f>
        <v>Yes</v>
      </c>
      <c r="J22" s="1" t="str">
        <f>_xlfn.XLOOKUP(messy_patient_details[[#This Row],[ Patient ID ]],patient_attendance!A:A,patient_attendance!C:C,"Not recorded")</f>
        <v>Cardiology</v>
      </c>
      <c r="K22" s="1">
        <f>_xlfn.XLOOKUP(messy_patient_details[[#This Row],[ Patient ID ]],patient_attendance!A:A,patient_attendance!D:D,"Not recorded")</f>
        <v>2025</v>
      </c>
      <c r="L22" s="1">
        <f>_xlfn.XLOOKUP(messy_patient_details[[#This Row],[ Patient ID ]],patient_attendance!A:A,patient_attendance!E:E,"Not recorded")</f>
        <v>10</v>
      </c>
      <c r="M22" s="1" t="str">
        <f>_xlfn.XLOOKUP(messy_patient_details[[#This Row],[ Patient ID ]],patient_outcome!A:A,patient_outcome!B:B,"Not recorded")</f>
        <v>Ongoing</v>
      </c>
      <c r="N22" s="1" t="str">
        <f>_xlfn.XLOOKUP(messy_patient_details[[#This Row],[ Patient ID ]],patient_outcome!A:A,patient_outcome!C:C,"Not recorded")</f>
        <v>No</v>
      </c>
    </row>
    <row r="23" spans="1:14" x14ac:dyDescent="0.25">
      <c r="A23" s="1" t="s">
        <v>26</v>
      </c>
      <c r="B23" s="1" t="s">
        <v>132</v>
      </c>
      <c r="C23" s="1" t="s">
        <v>154</v>
      </c>
      <c r="D23" s="2">
        <v>30814</v>
      </c>
      <c r="E23" s="1" t="s">
        <v>89</v>
      </c>
      <c r="F23" s="1" t="s">
        <v>90</v>
      </c>
      <c r="G23" s="1" t="s">
        <v>165</v>
      </c>
      <c r="H23" s="1">
        <f>_xlfn.XLOOKUP(messy_patient_details[[#This Row],[ Patient ID ]],Appointments!A:A,Appointments!B:B,"Not recorded")</f>
        <v>3</v>
      </c>
      <c r="I23" s="1" t="str">
        <f>_xlfn.XLOOKUP(messy_patient_details[[#This Row],[ Patient ID ]],Appointments!A:A,Appointments!C:C,"Not recorded")</f>
        <v>No</v>
      </c>
      <c r="J23" s="1" t="str">
        <f>_xlfn.XLOOKUP(messy_patient_details[[#This Row],[ Patient ID ]],patient_attendance!A:A,patient_attendance!C:C,"Not recorded")</f>
        <v>Cardiology</v>
      </c>
      <c r="K23" s="1">
        <f>_xlfn.XLOOKUP(messy_patient_details[[#This Row],[ Patient ID ]],patient_attendance!A:A,patient_attendance!D:D,"Not recorded")</f>
        <v>2025</v>
      </c>
      <c r="L23" s="1">
        <f>_xlfn.XLOOKUP(messy_patient_details[[#This Row],[ Patient ID ]],patient_attendance!A:A,patient_attendance!E:E,"Not recorded")</f>
        <v>11</v>
      </c>
      <c r="M23" s="1" t="str">
        <f>_xlfn.XLOOKUP(messy_patient_details[[#This Row],[ Patient ID ]],patient_outcome!A:A,patient_outcome!B:B,"Not recorded")</f>
        <v>Improved</v>
      </c>
      <c r="N23" s="1" t="str">
        <f>_xlfn.XLOOKUP(messy_patient_details[[#This Row],[ Patient ID ]],patient_outcome!A:A,patient_outcome!C:C,"Not recorded")</f>
        <v>No</v>
      </c>
    </row>
    <row r="24" spans="1:14" x14ac:dyDescent="0.25">
      <c r="A24" s="1" t="s">
        <v>27</v>
      </c>
      <c r="B24" s="1" t="s">
        <v>108</v>
      </c>
      <c r="C24" s="1" t="s">
        <v>155</v>
      </c>
      <c r="D24" s="2">
        <v>25720</v>
      </c>
      <c r="E24" s="1" t="s">
        <v>89</v>
      </c>
      <c r="F24" s="1" t="s">
        <v>164</v>
      </c>
      <c r="G24" s="1" t="s">
        <v>166</v>
      </c>
      <c r="H24" s="1">
        <f>_xlfn.XLOOKUP(messy_patient_details[[#This Row],[ Patient ID ]],Appointments!A:A,Appointments!B:B,"Not recorded")</f>
        <v>4</v>
      </c>
      <c r="I24" s="1" t="str">
        <f>_xlfn.XLOOKUP(messy_patient_details[[#This Row],[ Patient ID ]],Appointments!A:A,Appointments!C:C,"Not recorded")</f>
        <v>No</v>
      </c>
      <c r="J24" s="1" t="str">
        <f>_xlfn.XLOOKUP(messy_patient_details[[#This Row],[ Patient ID ]],patient_attendance!A:A,patient_attendance!C:C,"Not recorded")</f>
        <v>Cardiology</v>
      </c>
      <c r="K24" s="1">
        <f>_xlfn.XLOOKUP(messy_patient_details[[#This Row],[ Patient ID ]],patient_attendance!A:A,patient_attendance!D:D,"Not recorded")</f>
        <v>2025</v>
      </c>
      <c r="L24" s="1">
        <f>_xlfn.XLOOKUP(messy_patient_details[[#This Row],[ Patient ID ]],patient_attendance!A:A,patient_attendance!E:E,"Not recorded")</f>
        <v>12</v>
      </c>
      <c r="M24" s="1" t="str">
        <f>_xlfn.XLOOKUP(messy_patient_details[[#This Row],[ Patient ID ]],patient_outcome!A:A,patient_outcome!B:B,"Not recorded")</f>
        <v>Improved</v>
      </c>
      <c r="N24" s="1" t="str">
        <f>_xlfn.XLOOKUP(messy_patient_details[[#This Row],[ Patient ID ]],patient_outcome!A:A,patient_outcome!C:C,"Not recorded")</f>
        <v>No</v>
      </c>
    </row>
    <row r="25" spans="1:14" x14ac:dyDescent="0.25">
      <c r="A25" s="1" t="s">
        <v>28</v>
      </c>
      <c r="B25" s="1" t="s">
        <v>109</v>
      </c>
      <c r="C25" s="1" t="s">
        <v>156</v>
      </c>
      <c r="D25" s="2">
        <v>30814</v>
      </c>
      <c r="E25" s="1" t="s">
        <v>91</v>
      </c>
      <c r="F25" s="1" t="s">
        <v>164</v>
      </c>
      <c r="G25" s="1" t="s">
        <v>166</v>
      </c>
      <c r="H25" s="1">
        <f>_xlfn.XLOOKUP(messy_patient_details[[#This Row],[ Patient ID ]],Appointments!A:A,Appointments!B:B,"Not recorded")</f>
        <v>5</v>
      </c>
      <c r="I25" s="1" t="str">
        <f>_xlfn.XLOOKUP(messy_patient_details[[#This Row],[ Patient ID ]],Appointments!A:A,Appointments!C:C,"Not recorded")</f>
        <v>No</v>
      </c>
      <c r="J25" s="1" t="str">
        <f>_xlfn.XLOOKUP(messy_patient_details[[#This Row],[ Patient ID ]],patient_attendance!A:A,patient_attendance!C:C,"Not recorded")</f>
        <v>Cardiology</v>
      </c>
      <c r="K25" s="1">
        <f>_xlfn.XLOOKUP(messy_patient_details[[#This Row],[ Patient ID ]],patient_attendance!A:A,patient_attendance!D:D,"Not recorded")</f>
        <v>2025</v>
      </c>
      <c r="L25" s="1">
        <f>_xlfn.XLOOKUP(messy_patient_details[[#This Row],[ Patient ID ]],patient_attendance!A:A,patient_attendance!E:E,"Not recorded")</f>
        <v>1</v>
      </c>
      <c r="M25" s="1" t="str">
        <f>_xlfn.XLOOKUP(messy_patient_details[[#This Row],[ Patient ID ]],patient_outcome!A:A,patient_outcome!B:B,"Not recorded")</f>
        <v>Improved</v>
      </c>
      <c r="N25" s="1" t="str">
        <f>_xlfn.XLOOKUP(messy_patient_details[[#This Row],[ Patient ID ]],patient_outcome!A:A,patient_outcome!C:C,"Not recorded")</f>
        <v>No</v>
      </c>
    </row>
    <row r="26" spans="1:14" x14ac:dyDescent="0.25">
      <c r="A26" s="1" t="s">
        <v>29</v>
      </c>
      <c r="B26" s="1" t="s">
        <v>133</v>
      </c>
      <c r="C26" s="1" t="s">
        <v>157</v>
      </c>
      <c r="D26" s="2">
        <v>33200</v>
      </c>
      <c r="E26" s="1" t="s">
        <v>89</v>
      </c>
      <c r="F26" s="1" t="s">
        <v>90</v>
      </c>
      <c r="G26" s="1" t="s">
        <v>166</v>
      </c>
      <c r="H26" s="1">
        <f>_xlfn.XLOOKUP(messy_patient_details[[#This Row],[ Patient ID ]],Appointments!A:A,Appointments!B:B,"Not recorded")</f>
        <v>1</v>
      </c>
      <c r="I26" s="1" t="str">
        <f>_xlfn.XLOOKUP(messy_patient_details[[#This Row],[ Patient ID ]],Appointments!A:A,Appointments!C:C,"Not recorded")</f>
        <v>No</v>
      </c>
      <c r="J26" s="1" t="str">
        <f>_xlfn.XLOOKUP(messy_patient_details[[#This Row],[ Patient ID ]],patient_attendance!A:A,patient_attendance!C:C,"Not recorded")</f>
        <v>Cardiology</v>
      </c>
      <c r="K26" s="1">
        <f>_xlfn.XLOOKUP(messy_patient_details[[#This Row],[ Patient ID ]],patient_attendance!A:A,patient_attendance!D:D,"Not recorded")</f>
        <v>2025</v>
      </c>
      <c r="L26" s="1">
        <f>_xlfn.XLOOKUP(messy_patient_details[[#This Row],[ Patient ID ]],patient_attendance!A:A,patient_attendance!E:E,"Not recorded")</f>
        <v>2</v>
      </c>
      <c r="M26" s="1" t="str">
        <f>_xlfn.XLOOKUP(messy_patient_details[[#This Row],[ Patient ID ]],patient_outcome!A:A,patient_outcome!B:B,"Not recorded")</f>
        <v>Ongoing</v>
      </c>
      <c r="N26" s="1" t="str">
        <f>_xlfn.XLOOKUP(messy_patient_details[[#This Row],[ Patient ID ]],patient_outcome!A:A,patient_outcome!C:C,"Not recorded")</f>
        <v>Yes</v>
      </c>
    </row>
    <row r="27" spans="1:14" x14ac:dyDescent="0.25">
      <c r="A27" s="1" t="s">
        <v>30</v>
      </c>
      <c r="B27" s="1" t="s">
        <v>134</v>
      </c>
      <c r="C27" s="1" t="s">
        <v>158</v>
      </c>
      <c r="D27" s="2">
        <v>30814</v>
      </c>
      <c r="E27" s="1" t="s">
        <v>91</v>
      </c>
      <c r="F27" s="1" t="s">
        <v>90</v>
      </c>
      <c r="G27" s="1" t="s">
        <v>166</v>
      </c>
      <c r="H27" s="1">
        <f>_xlfn.XLOOKUP(messy_patient_details[[#This Row],[ Patient ID ]],Appointments!A:A,Appointments!B:B,"Not recorded")</f>
        <v>2</v>
      </c>
      <c r="I27" s="1" t="str">
        <f>_xlfn.XLOOKUP(messy_patient_details[[#This Row],[ Patient ID ]],Appointments!A:A,Appointments!C:C,"Not recorded")</f>
        <v>No</v>
      </c>
      <c r="J27" s="1" t="str">
        <f>_xlfn.XLOOKUP(messy_patient_details[[#This Row],[ Patient ID ]],patient_attendance!A:A,patient_attendance!C:C,"Not recorded")</f>
        <v>Cardiology</v>
      </c>
      <c r="K27" s="1">
        <f>_xlfn.XLOOKUP(messy_patient_details[[#This Row],[ Patient ID ]],patient_attendance!A:A,patient_attendance!D:D,"Not recorded")</f>
        <v>2025</v>
      </c>
      <c r="L27" s="1">
        <f>_xlfn.XLOOKUP(messy_patient_details[[#This Row],[ Patient ID ]],patient_attendance!A:A,patient_attendance!E:E,"Not recorded")</f>
        <v>3</v>
      </c>
      <c r="M27" s="1" t="str">
        <f>_xlfn.XLOOKUP(messy_patient_details[[#This Row],[ Patient ID ]],patient_outcome!A:A,patient_outcome!B:B,"Not recorded")</f>
        <v>Improved</v>
      </c>
      <c r="N27" s="1" t="str">
        <f>_xlfn.XLOOKUP(messy_patient_details[[#This Row],[ Patient ID ]],patient_outcome!A:A,patient_outcome!C:C,"Not recorded")</f>
        <v>No</v>
      </c>
    </row>
    <row r="28" spans="1:14" x14ac:dyDescent="0.25">
      <c r="A28" s="1" t="s">
        <v>31</v>
      </c>
      <c r="B28" s="1" t="s">
        <v>110</v>
      </c>
      <c r="C28" s="1" t="s">
        <v>159</v>
      </c>
      <c r="D28" s="2">
        <v>25574</v>
      </c>
      <c r="E28" s="1" t="s">
        <v>91</v>
      </c>
      <c r="F28" s="1" t="s">
        <v>90</v>
      </c>
      <c r="G28" s="1" t="s">
        <v>165</v>
      </c>
      <c r="H28" s="1">
        <f>_xlfn.XLOOKUP(messy_patient_details[[#This Row],[ Patient ID ]],Appointments!A:A,Appointments!B:B,"Not recorded")</f>
        <v>3</v>
      </c>
      <c r="I28" s="1" t="str">
        <f>_xlfn.XLOOKUP(messy_patient_details[[#This Row],[ Patient ID ]],Appointments!A:A,Appointments!C:C,"Not recorded")</f>
        <v>No</v>
      </c>
      <c r="J28" s="1" t="str">
        <f>_xlfn.XLOOKUP(messy_patient_details[[#This Row],[ Patient ID ]],patient_attendance!A:A,patient_attendance!C:C,"Not recorded")</f>
        <v>Cardiology</v>
      </c>
      <c r="K28" s="1">
        <f>_xlfn.XLOOKUP(messy_patient_details[[#This Row],[ Patient ID ]],patient_attendance!A:A,patient_attendance!D:D,"Not recorded")</f>
        <v>2025</v>
      </c>
      <c r="L28" s="1">
        <f>_xlfn.XLOOKUP(messy_patient_details[[#This Row],[ Patient ID ]],patient_attendance!A:A,patient_attendance!E:E,"Not recorded")</f>
        <v>4</v>
      </c>
      <c r="M28" s="1" t="str">
        <f>_xlfn.XLOOKUP(messy_patient_details[[#This Row],[ Patient ID ]],patient_outcome!A:A,patient_outcome!B:B,"Not recorded")</f>
        <v>Improved</v>
      </c>
      <c r="N28" s="1" t="str">
        <f>_xlfn.XLOOKUP(messy_patient_details[[#This Row],[ Patient ID ]],patient_outcome!A:A,patient_outcome!C:C,"Not recorded")</f>
        <v>No</v>
      </c>
    </row>
    <row r="29" spans="1:14" x14ac:dyDescent="0.25">
      <c r="A29" s="1" t="s">
        <v>32</v>
      </c>
      <c r="B29" s="1" t="s">
        <v>111</v>
      </c>
      <c r="C29" s="1" t="s">
        <v>160</v>
      </c>
      <c r="D29" s="2">
        <v>30814</v>
      </c>
      <c r="E29" s="1" t="s">
        <v>89</v>
      </c>
      <c r="F29" s="1" t="s">
        <v>90</v>
      </c>
      <c r="G29" s="1" t="s">
        <v>165</v>
      </c>
      <c r="H29" s="1">
        <f>_xlfn.XLOOKUP(messy_patient_details[[#This Row],[ Patient ID ]],Appointments!A:A,Appointments!B:B,"Not recorded")</f>
        <v>4</v>
      </c>
      <c r="I29" s="1" t="str">
        <f>_xlfn.XLOOKUP(messy_patient_details[[#This Row],[ Patient ID ]],Appointments!A:A,Appointments!C:C,"Not recorded")</f>
        <v>Yes</v>
      </c>
      <c r="J29" s="1" t="str">
        <f>_xlfn.XLOOKUP(messy_patient_details[[#This Row],[ Patient ID ]],patient_attendance!A:A,patient_attendance!C:C,"Not recorded")</f>
        <v>Cardiology</v>
      </c>
      <c r="K29" s="1">
        <f>_xlfn.XLOOKUP(messy_patient_details[[#This Row],[ Patient ID ]],patient_attendance!A:A,patient_attendance!D:D,"Not recorded")</f>
        <v>2025</v>
      </c>
      <c r="L29" s="1">
        <f>_xlfn.XLOOKUP(messy_patient_details[[#This Row],[ Patient ID ]],patient_attendance!A:A,patient_attendance!E:E,"Not recorded")</f>
        <v>5</v>
      </c>
      <c r="M29" s="1" t="str">
        <f>_xlfn.XLOOKUP(messy_patient_details[[#This Row],[ Patient ID ]],patient_outcome!A:A,patient_outcome!B:B,"Not recorded")</f>
        <v>Improved</v>
      </c>
      <c r="N29" s="1" t="str">
        <f>_xlfn.XLOOKUP(messy_patient_details[[#This Row],[ Patient ID ]],patient_outcome!A:A,patient_outcome!C:C,"Not recorded")</f>
        <v>No</v>
      </c>
    </row>
    <row r="30" spans="1:14" x14ac:dyDescent="0.25">
      <c r="A30" s="1" t="s">
        <v>33</v>
      </c>
      <c r="B30" s="1" t="s">
        <v>135</v>
      </c>
      <c r="C30" s="1" t="s">
        <v>161</v>
      </c>
      <c r="D30" s="2">
        <v>30814</v>
      </c>
      <c r="E30" s="1" t="s">
        <v>89</v>
      </c>
      <c r="F30" s="1" t="s">
        <v>164</v>
      </c>
      <c r="G30" s="1" t="s">
        <v>166</v>
      </c>
      <c r="H30" s="1">
        <f>_xlfn.XLOOKUP(messy_patient_details[[#This Row],[ Patient ID ]],Appointments!A:A,Appointments!B:B,"Not recorded")</f>
        <v>5</v>
      </c>
      <c r="I30" s="1" t="str">
        <f>_xlfn.XLOOKUP(messy_patient_details[[#This Row],[ Patient ID ]],Appointments!A:A,Appointments!C:C,"Not recorded")</f>
        <v>No</v>
      </c>
      <c r="J30" s="1" t="str">
        <f>_xlfn.XLOOKUP(messy_patient_details[[#This Row],[ Patient ID ]],patient_attendance!A:A,patient_attendance!C:C,"Not recorded")</f>
        <v>Cardiology</v>
      </c>
      <c r="K30" s="1">
        <f>_xlfn.XLOOKUP(messy_patient_details[[#This Row],[ Patient ID ]],patient_attendance!A:A,patient_attendance!D:D,"Not recorded")</f>
        <v>2025</v>
      </c>
      <c r="L30" s="1">
        <f>_xlfn.XLOOKUP(messy_patient_details[[#This Row],[ Patient ID ]],patient_attendance!A:A,patient_attendance!E:E,"Not recorded")</f>
        <v>6</v>
      </c>
      <c r="M30" s="1" t="str">
        <f>_xlfn.XLOOKUP(messy_patient_details[[#This Row],[ Patient ID ]],patient_outcome!A:A,patient_outcome!B:B,"Not recorded")</f>
        <v>Ongoing</v>
      </c>
      <c r="N30" s="1" t="str">
        <f>_xlfn.XLOOKUP(messy_patient_details[[#This Row],[ Patient ID ]],patient_outcome!A:A,patient_outcome!C:C,"Not recorded")</f>
        <v>No</v>
      </c>
    </row>
    <row r="31" spans="1:14" x14ac:dyDescent="0.25">
      <c r="A31" s="1" t="s">
        <v>34</v>
      </c>
      <c r="B31" s="1" t="s">
        <v>136</v>
      </c>
      <c r="C31" s="1" t="s">
        <v>112</v>
      </c>
      <c r="D31" s="2">
        <v>30814</v>
      </c>
      <c r="E31" s="1" t="s">
        <v>91</v>
      </c>
      <c r="F31" s="1" t="s">
        <v>164</v>
      </c>
      <c r="G31" s="1" t="s">
        <v>165</v>
      </c>
      <c r="H31" s="1">
        <f>_xlfn.XLOOKUP(messy_patient_details[[#This Row],[ Patient ID ]],Appointments!A:A,Appointments!B:B,"Not recorded")</f>
        <v>1</v>
      </c>
      <c r="I31" s="1" t="str">
        <f>_xlfn.XLOOKUP(messy_patient_details[[#This Row],[ Patient ID ]],Appointments!A:A,Appointments!C:C,"Not recorded")</f>
        <v>No</v>
      </c>
      <c r="J31" s="1" t="str">
        <f>_xlfn.XLOOKUP(messy_patient_details[[#This Row],[ Patient ID ]],patient_attendance!A:A,patient_attendance!C:C,"Not recorded")</f>
        <v>Cardiology</v>
      </c>
      <c r="K31" s="1">
        <f>_xlfn.XLOOKUP(messy_patient_details[[#This Row],[ Patient ID ]],patient_attendance!A:A,patient_attendance!D:D,"Not recorded")</f>
        <v>2025</v>
      </c>
      <c r="L31" s="1">
        <f>_xlfn.XLOOKUP(messy_patient_details[[#This Row],[ Patient ID ]],patient_attendance!A:A,patient_attendance!E:E,"Not recorded")</f>
        <v>7</v>
      </c>
      <c r="M31" s="1" t="str">
        <f>_xlfn.XLOOKUP(messy_patient_details[[#This Row],[ Patient ID ]],patient_outcome!A:A,patient_outcome!B:B,"Not recorded")</f>
        <v>Improved</v>
      </c>
      <c r="N31" s="1" t="str">
        <f>_xlfn.XLOOKUP(messy_patient_details[[#This Row],[ Patient ID ]],patient_outcome!A:A,patient_outcome!C:C,"Not recorded")</f>
        <v>No</v>
      </c>
    </row>
    <row r="32" spans="1:14" x14ac:dyDescent="0.25">
      <c r="A32" s="1" t="s">
        <v>35</v>
      </c>
      <c r="B32" s="1" t="s">
        <v>113</v>
      </c>
      <c r="C32" s="1" t="s">
        <v>162</v>
      </c>
      <c r="D32" s="2">
        <v>33200</v>
      </c>
      <c r="E32" s="1" t="s">
        <v>89</v>
      </c>
      <c r="F32" s="1" t="s">
        <v>90</v>
      </c>
      <c r="G32" s="1" t="s">
        <v>165</v>
      </c>
      <c r="H32" s="1">
        <f>_xlfn.XLOOKUP(messy_patient_details[[#This Row],[ Patient ID ]],Appointments!A:A,Appointments!B:B,"Not recorded")</f>
        <v>2</v>
      </c>
      <c r="I32" s="1" t="str">
        <f>_xlfn.XLOOKUP(messy_patient_details[[#This Row],[ Patient ID ]],Appointments!A:A,Appointments!C:C,"Not recorded")</f>
        <v>No</v>
      </c>
      <c r="J32" s="1" t="str">
        <f>_xlfn.XLOOKUP(messy_patient_details[[#This Row],[ Patient ID ]],patient_attendance!A:A,patient_attendance!C:C,"Not recorded")</f>
        <v>Cardiology</v>
      </c>
      <c r="K32" s="1">
        <f>_xlfn.XLOOKUP(messy_patient_details[[#This Row],[ Patient ID ]],patient_attendance!A:A,patient_attendance!D:D,"Not recorded")</f>
        <v>2025</v>
      </c>
      <c r="L32" s="1">
        <f>_xlfn.XLOOKUP(messy_patient_details[[#This Row],[ Patient ID ]],patient_attendance!A:A,patient_attendance!E:E,"Not recorded")</f>
        <v>8</v>
      </c>
      <c r="M32" s="1" t="str">
        <f>_xlfn.XLOOKUP(messy_patient_details[[#This Row],[ Patient ID ]],patient_outcome!A:A,patient_outcome!B:B,"Not recorded")</f>
        <v>Improved</v>
      </c>
      <c r="N32" s="1" t="str">
        <f>_xlfn.XLOOKUP(messy_patient_details[[#This Row],[ Patient ID ]],patient_outcome!A:A,patient_outcome!C:C,"Not recorded")</f>
        <v>Yes</v>
      </c>
    </row>
    <row r="33" spans="1:14" x14ac:dyDescent="0.25">
      <c r="A33" s="1" t="s">
        <v>36</v>
      </c>
      <c r="B33" s="1" t="s">
        <v>137</v>
      </c>
      <c r="C33" s="1" t="s">
        <v>114</v>
      </c>
      <c r="D33" s="2">
        <v>25720</v>
      </c>
      <c r="E33" s="1" t="s">
        <v>91</v>
      </c>
      <c r="F33" s="1" t="s">
        <v>164</v>
      </c>
      <c r="G33" s="1" t="s">
        <v>166</v>
      </c>
      <c r="H33" s="1">
        <f>_xlfn.XLOOKUP(messy_patient_details[[#This Row],[ Patient ID ]],Appointments!A:A,Appointments!B:B,"Not recorded")</f>
        <v>3</v>
      </c>
      <c r="I33" s="1" t="str">
        <f>_xlfn.XLOOKUP(messy_patient_details[[#This Row],[ Patient ID ]],Appointments!A:A,Appointments!C:C,"Not recorded")</f>
        <v>No</v>
      </c>
      <c r="J33" s="1" t="str">
        <f>_xlfn.XLOOKUP(messy_patient_details[[#This Row],[ Patient ID ]],patient_attendance!A:A,patient_attendance!C:C,"Not recorded")</f>
        <v>Cardiology</v>
      </c>
      <c r="K33" s="1">
        <f>_xlfn.XLOOKUP(messy_patient_details[[#This Row],[ Patient ID ]],patient_attendance!A:A,patient_attendance!D:D,"Not recorded")</f>
        <v>2025</v>
      </c>
      <c r="L33" s="1">
        <f>_xlfn.XLOOKUP(messy_patient_details[[#This Row],[ Patient ID ]],patient_attendance!A:A,patient_attendance!E:E,"Not recorded")</f>
        <v>9</v>
      </c>
      <c r="M33" s="1" t="str">
        <f>_xlfn.XLOOKUP(messy_patient_details[[#This Row],[ Patient ID ]],patient_outcome!A:A,patient_outcome!B:B,"Not recorded")</f>
        <v>Improved</v>
      </c>
      <c r="N33" s="1" t="str">
        <f>_xlfn.XLOOKUP(messy_patient_details[[#This Row],[ Patient ID ]],patient_outcome!A:A,patient_outcome!C:C,"Not recorded")</f>
        <v>No</v>
      </c>
    </row>
    <row r="34" spans="1:14" x14ac:dyDescent="0.25">
      <c r="A34" s="1" t="s">
        <v>37</v>
      </c>
      <c r="B34" s="1" t="s">
        <v>115</v>
      </c>
      <c r="C34" s="1" t="s">
        <v>163</v>
      </c>
      <c r="D34" s="2">
        <v>30814</v>
      </c>
      <c r="E34" s="1" t="s">
        <v>91</v>
      </c>
      <c r="F34" s="1" t="s">
        <v>164</v>
      </c>
      <c r="G34" s="1" t="s">
        <v>165</v>
      </c>
      <c r="H34" s="1">
        <f>_xlfn.XLOOKUP(messy_patient_details[[#This Row],[ Patient ID ]],Appointments!A:A,Appointments!B:B,"Not recorded")</f>
        <v>4</v>
      </c>
      <c r="I34" s="1" t="str">
        <f>_xlfn.XLOOKUP(messy_patient_details[[#This Row],[ Patient ID ]],Appointments!A:A,Appointments!C:C,"Not recorded")</f>
        <v>No</v>
      </c>
      <c r="J34" s="1" t="str">
        <f>_xlfn.XLOOKUP(messy_patient_details[[#This Row],[ Patient ID ]],patient_attendance!A:A,patient_attendance!C:C,"Not recorded")</f>
        <v>Cardiology</v>
      </c>
      <c r="K34" s="1">
        <f>_xlfn.XLOOKUP(messy_patient_details[[#This Row],[ Patient ID ]],patient_attendance!A:A,patient_attendance!D:D,"Not recorded")</f>
        <v>2025</v>
      </c>
      <c r="L34" s="1">
        <f>_xlfn.XLOOKUP(messy_patient_details[[#This Row],[ Patient ID ]],patient_attendance!A:A,patient_attendance!E:E,"Not recorded")</f>
        <v>10</v>
      </c>
      <c r="M34" s="1" t="str">
        <f>_xlfn.XLOOKUP(messy_patient_details[[#This Row],[ Patient ID ]],patient_outcome!A:A,patient_outcome!B:B,"Not recorded")</f>
        <v>Ongoing</v>
      </c>
      <c r="N34" s="1" t="str">
        <f>_xlfn.XLOOKUP(messy_patient_details[[#This Row],[ Patient ID ]],patient_outcome!A:A,patient_outcome!C:C,"Not recorded")</f>
        <v>No</v>
      </c>
    </row>
    <row r="35" spans="1:14" x14ac:dyDescent="0.25">
      <c r="A35" s="1" t="s">
        <v>38</v>
      </c>
      <c r="B35" s="1" t="s">
        <v>138</v>
      </c>
      <c r="C35" s="1" t="s">
        <v>116</v>
      </c>
      <c r="D35" s="2">
        <v>30814</v>
      </c>
      <c r="E35" s="1" t="s">
        <v>91</v>
      </c>
      <c r="F35" s="1" t="s">
        <v>164</v>
      </c>
      <c r="G35" s="1" t="s">
        <v>166</v>
      </c>
      <c r="H35" s="1">
        <f>_xlfn.XLOOKUP(messy_patient_details[[#This Row],[ Patient ID ]],Appointments!A:A,Appointments!B:B,"Not recorded")</f>
        <v>5</v>
      </c>
      <c r="I35" s="1" t="str">
        <f>_xlfn.XLOOKUP(messy_patient_details[[#This Row],[ Patient ID ]],Appointments!A:A,Appointments!C:C,"Not recorded")</f>
        <v>No</v>
      </c>
      <c r="J35" s="1" t="str">
        <f>_xlfn.XLOOKUP(messy_patient_details[[#This Row],[ Patient ID ]],patient_attendance!A:A,patient_attendance!C:C,"Not recorded")</f>
        <v>Cardiology</v>
      </c>
      <c r="K35" s="1">
        <f>_xlfn.XLOOKUP(messy_patient_details[[#This Row],[ Patient ID ]],patient_attendance!A:A,patient_attendance!D:D,"Not recorded")</f>
        <v>2025</v>
      </c>
      <c r="L35" s="1">
        <f>_xlfn.XLOOKUP(messy_patient_details[[#This Row],[ Patient ID ]],patient_attendance!A:A,patient_attendance!E:E,"Not recorded")</f>
        <v>11</v>
      </c>
      <c r="M35" s="1" t="str">
        <f>_xlfn.XLOOKUP(messy_patient_details[[#This Row],[ Patient ID ]],patient_outcome!A:A,patient_outcome!B:B,"Not recorded")</f>
        <v>Improved</v>
      </c>
      <c r="N35" s="1" t="str">
        <f>_xlfn.XLOOKUP(messy_patient_details[[#This Row],[ Patient ID ]],patient_outcome!A:A,patient_outcome!C:C,"Not recorded")</f>
        <v>No</v>
      </c>
    </row>
    <row r="36" spans="1:14" x14ac:dyDescent="0.25">
      <c r="A36" s="1" t="s">
        <v>39</v>
      </c>
      <c r="B36" s="1" t="s">
        <v>139</v>
      </c>
      <c r="C36" s="1" t="s">
        <v>117</v>
      </c>
      <c r="D36" s="2">
        <v>25720</v>
      </c>
      <c r="E36" s="1" t="s">
        <v>89</v>
      </c>
      <c r="F36" s="1" t="s">
        <v>164</v>
      </c>
      <c r="G36" s="1" t="s">
        <v>165</v>
      </c>
      <c r="H36" s="1">
        <f>_xlfn.XLOOKUP(messy_patient_details[[#This Row],[ Patient ID ]],Appointments!A:A,Appointments!B:B,"Not recorded")</f>
        <v>1</v>
      </c>
      <c r="I36" s="1" t="str">
        <f>_xlfn.XLOOKUP(messy_patient_details[[#This Row],[ Patient ID ]],Appointments!A:A,Appointments!C:C,"Not recorded")</f>
        <v>Yes</v>
      </c>
      <c r="J36" s="1" t="str">
        <f>_xlfn.XLOOKUP(messy_patient_details[[#This Row],[ Patient ID ]],patient_attendance!A:A,patient_attendance!C:C,"Not recorded")</f>
        <v>Cardiology</v>
      </c>
      <c r="K36" s="1">
        <f>_xlfn.XLOOKUP(messy_patient_details[[#This Row],[ Patient ID ]],patient_attendance!A:A,patient_attendance!D:D,"Not recorded")</f>
        <v>2025</v>
      </c>
      <c r="L36" s="1">
        <f>_xlfn.XLOOKUP(messy_patient_details[[#This Row],[ Patient ID ]],patient_attendance!A:A,patient_attendance!E:E,"Not recorded")</f>
        <v>12</v>
      </c>
      <c r="M36" s="1" t="str">
        <f>_xlfn.XLOOKUP(messy_patient_details[[#This Row],[ Patient ID ]],patient_outcome!A:A,patient_outcome!B:B,"Not recorded")</f>
        <v>Improved</v>
      </c>
      <c r="N36" s="1" t="str">
        <f>_xlfn.XLOOKUP(messy_patient_details[[#This Row],[ Patient ID ]],patient_outcome!A:A,patient_outcome!C:C,"Not recorded")</f>
        <v>No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F270-5664-4037-9B97-F8B3E9A5BD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37BB8C-106D-4959-BFA4-1280A5301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patient_outcome</vt:lpstr>
      <vt:lpstr>patient_attendance</vt:lpstr>
      <vt:lpstr>Appointments</vt:lpstr>
      <vt:lpstr>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Chittenden</dc:creator>
  <cp:lastModifiedBy>Michael Chittenden</cp:lastModifiedBy>
  <dcterms:created xsi:type="dcterms:W3CDTF">2025-12-18T09:06:51Z</dcterms:created>
  <dcterms:modified xsi:type="dcterms:W3CDTF">2025-12-18T10:59:46Z</dcterms:modified>
</cp:coreProperties>
</file>