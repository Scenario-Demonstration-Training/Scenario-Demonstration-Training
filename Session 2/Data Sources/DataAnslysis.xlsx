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2wcompletetraining057-my.sharepoint.com/personal/michael_chittenden_justit_co_uk/Documents/Scenario-Demonstration-Training/Session 2/Data Sources/"/>
    </mc:Choice>
  </mc:AlternateContent>
  <xr:revisionPtr revIDLastSave="19" documentId="8_{CAFC7D3F-3D86-404F-8C3E-E160B0456816}" xr6:coauthVersionLast="47" xr6:coauthVersionMax="47" xr10:uidLastSave="{31A181BC-FFC6-426A-BE90-E60FEEE19C50}"/>
  <bookViews>
    <workbookView xWindow="28680" yWindow="-75" windowWidth="29040" windowHeight="15720" xr2:uid="{9BB4D2A1-FDFC-4D4B-95EB-21AD45D4BCEB}"/>
  </bookViews>
  <sheets>
    <sheet name="Level 1" sheetId="9" r:id="rId1"/>
    <sheet name="Level 2" sheetId="13" r:id="rId2"/>
    <sheet name="Sheet1" sheetId="8" r:id="rId3"/>
    <sheet name="Sheet5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8" i="13" l="1"/>
  <c r="T37" i="13"/>
  <c r="T36" i="13"/>
  <c r="T35" i="13"/>
  <c r="T34" i="13"/>
  <c r="T33" i="13"/>
  <c r="T32" i="13"/>
  <c r="T31" i="13"/>
  <c r="T30" i="13"/>
  <c r="T29" i="13"/>
  <c r="T28" i="13"/>
  <c r="T27" i="13"/>
  <c r="T26" i="13"/>
  <c r="T25" i="13"/>
  <c r="T24" i="13"/>
  <c r="T23" i="13"/>
  <c r="T22" i="13"/>
  <c r="T21" i="13"/>
  <c r="T20" i="13"/>
  <c r="T19" i="13"/>
  <c r="T18" i="13"/>
  <c r="T17" i="13"/>
  <c r="T16" i="13"/>
  <c r="T15" i="13"/>
  <c r="T14" i="13"/>
  <c r="T13" i="13"/>
  <c r="T12" i="13"/>
  <c r="T11" i="13"/>
  <c r="T10" i="13"/>
  <c r="T9" i="13"/>
  <c r="T8" i="13"/>
  <c r="T7" i="13"/>
  <c r="T6" i="13"/>
  <c r="T5" i="13"/>
  <c r="T4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1ED7E-002C-466D-973E-00C0CE083BD6}" keepAlive="1" name="Query - Appointments" description="Connection to the 'Appointments' query in the workbook." type="5" refreshedVersion="8" background="1" saveData="1">
    <dbPr connection="Provider=Microsoft.Mashup.OleDb.1;Data Source=$Workbook$;Location=Appointments;Extended Properties=&quot;&quot;" command="SELECT * FROM [Appointments]"/>
  </connection>
  <connection id="2" xr16:uid="{7D5D7841-AC0F-4ACB-9A35-739759245B5D}" keepAlive="1" name="Query - messy_patient_details" description="Connection to the 'messy_patient_details' query in the workbook." type="5" refreshedVersion="8" background="1" saveData="1">
    <dbPr connection="Provider=Microsoft.Mashup.OleDb.1;Data Source=$Workbook$;Location=messy_patient_details;Extended Properties=&quot;&quot;" command="SELECT * FROM [messy_patient_details]"/>
  </connection>
  <connection id="3" xr16:uid="{4B46AEE4-DC42-48D9-8CD8-9CF74E8B065B}" keepAlive="1" name="Query - patient_attendance" description="Connection to the 'patient_attendance' query in the workbook." type="5" refreshedVersion="8" background="1" saveData="1">
    <dbPr connection="Provider=Microsoft.Mashup.OleDb.1;Data Source=$Workbook$;Location=patient_attendance;Extended Properties=&quot;&quot;" command="SELECT * FROM [patient_attendance]"/>
  </connection>
  <connection id="4" xr16:uid="{A60F9EF2-E07D-4258-8F6B-A7D9FDCE3CE4}" keepAlive="1" name="Query - Table001 (Page 1)" description="Connection to the 'Table001 (Page 1)' query in the workbook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5" xr16:uid="{BC629B02-D393-4D66-BC1A-EF202937FE2C}" keepAlive="1" name="Query - Table002 (Page 2)" description="Connection to the 'Table002 (Page 2)' query in the workbook." type="5" refreshedVersion="0" background="1">
    <dbPr connection="Provider=Microsoft.Mashup.OleDb.1;Data Source=$Workbook$;Location=&quot;Table002 (Page 2)&quot;;Extended Properties=&quot;&quot;" command="SELECT * FROM [Table002 (Page 2)]"/>
  </connection>
</connections>
</file>

<file path=xl/sharedStrings.xml><?xml version="1.0" encoding="utf-8"?>
<sst xmlns="http://schemas.openxmlformats.org/spreadsheetml/2006/main" count="1103" uniqueCount="145">
  <si>
    <t>PT1001</t>
  </si>
  <si>
    <t>No</t>
  </si>
  <si>
    <t>PT1002</t>
  </si>
  <si>
    <t>PT1003</t>
  </si>
  <si>
    <t>PT1004</t>
  </si>
  <si>
    <t>PT1005</t>
  </si>
  <si>
    <t>PT1006</t>
  </si>
  <si>
    <t>PT1007</t>
  </si>
  <si>
    <t>Yes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</si>
  <si>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</si>
  <si>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</si>
  <si>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</si>
  <si>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</si>
  <si>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</si>
  <si>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</si>
  <si>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</si>
  <si>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</si>
  <si>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</si>
  <si>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</si>
  <si>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</si>
  <si>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</si>
  <si>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</si>
  <si>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</si>
  <si>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</si>
  <si>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</si>
  <si>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</si>
  <si>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</si>
  <si>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</si>
  <si>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</si>
  <si>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</si>
  <si>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</si>
  <si>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</si>
  <si>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</si>
  <si>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</si>
  <si>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</si>
  <si>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</si>
  <si>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</si>
  <si>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Department</t>
  </si>
  <si>
    <t>Year</t>
  </si>
  <si>
    <t>Month</t>
  </si>
  <si>
    <t>Cardiology</t>
  </si>
  <si>
    <t>Outcome</t>
  </si>
  <si>
    <t>Ongoing</t>
  </si>
  <si>
    <t>Improved</t>
  </si>
  <si>
    <t xml:space="preserve"> Patient ID </t>
  </si>
  <si>
    <t>Date of Birth</t>
  </si>
  <si>
    <t>Gender</t>
  </si>
  <si>
    <t>GP</t>
  </si>
  <si>
    <t>On Medication</t>
  </si>
  <si>
    <t>M</t>
  </si>
  <si>
    <t>HEALTH CENTRE NORTH</t>
  </si>
  <si>
    <t>F</t>
  </si>
  <si>
    <t>Full</t>
  </si>
  <si>
    <t>Name</t>
  </si>
  <si>
    <t>Jane</t>
  </si>
  <si>
    <t>Alice</t>
  </si>
  <si>
    <t>Robert</t>
  </si>
  <si>
    <t>Sarah</t>
  </si>
  <si>
    <t>BLACK</t>
  </si>
  <si>
    <t>HARRIS</t>
  </si>
  <si>
    <t>Laura</t>
  </si>
  <si>
    <t>David</t>
  </si>
  <si>
    <t>LEWIS</t>
  </si>
  <si>
    <t>Olivia</t>
  </si>
  <si>
    <t>KING</t>
  </si>
  <si>
    <t>WRIGHT</t>
  </si>
  <si>
    <t>ADAMS</t>
  </si>
  <si>
    <t>BAKER</t>
  </si>
  <si>
    <t>Chloe</t>
  </si>
  <si>
    <t>Noah</t>
  </si>
  <si>
    <t>Mia</t>
  </si>
  <si>
    <t>Oliver</t>
  </si>
  <si>
    <t>EVANS</t>
  </si>
  <si>
    <t>Zoe</t>
  </si>
  <si>
    <t>COLLINS</t>
  </si>
  <si>
    <t>Ava</t>
  </si>
  <si>
    <t>MORRIS</t>
  </si>
  <si>
    <t>ROGERS</t>
  </si>
  <si>
    <t>John</t>
  </si>
  <si>
    <t>Michael</t>
  </si>
  <si>
    <t>Emily</t>
  </si>
  <si>
    <t>Thomas</t>
  </si>
  <si>
    <t>Emma</t>
  </si>
  <si>
    <t>Daniel</t>
  </si>
  <si>
    <t>James</t>
  </si>
  <si>
    <t>Sophia</t>
  </si>
  <si>
    <t>Matthew</t>
  </si>
  <si>
    <t>Isla</t>
  </si>
  <si>
    <t>Benjamin</t>
  </si>
  <si>
    <t>Amelia</t>
  </si>
  <si>
    <t>Lucas</t>
  </si>
  <si>
    <t>Grace</t>
  </si>
  <si>
    <t>Henry</t>
  </si>
  <si>
    <t>Ella</t>
  </si>
  <si>
    <t>Samuel</t>
  </si>
  <si>
    <t>Lily</t>
  </si>
  <si>
    <t>Ethan</t>
  </si>
  <si>
    <t>Joshua</t>
  </si>
  <si>
    <t>Ryan</t>
  </si>
  <si>
    <t>Hannah</t>
  </si>
  <si>
    <t>SMITH</t>
  </si>
  <si>
    <t>DOE</t>
  </si>
  <si>
    <t>BROWN</t>
  </si>
  <si>
    <t>JONES</t>
  </si>
  <si>
    <t>WHITE</t>
  </si>
  <si>
    <t>GREEN</t>
  </si>
  <si>
    <t>WILSON</t>
  </si>
  <si>
    <t>CLARK</t>
  </si>
  <si>
    <t>WALKER</t>
  </si>
  <si>
    <t>HALL</t>
  </si>
  <si>
    <t>YOUNG</t>
  </si>
  <si>
    <t>LOPEZ</t>
  </si>
  <si>
    <t>SCOTT</t>
  </si>
  <si>
    <t>NELSON</t>
  </si>
  <si>
    <t>CARTER</t>
  </si>
  <si>
    <t>MITCHELL</t>
  </si>
  <si>
    <t>PEREZ</t>
  </si>
  <si>
    <t>ROBERTS</t>
  </si>
  <si>
    <t>TURNER</t>
  </si>
  <si>
    <t>PHILLIPS</t>
  </si>
  <si>
    <t>CAMPBELL</t>
  </si>
  <si>
    <t>PARKER</t>
  </si>
  <si>
    <t>EDWARDS</t>
  </si>
  <si>
    <t>STEWART</t>
  </si>
  <si>
    <t>DR ADAMS</t>
  </si>
  <si>
    <t>YES</t>
  </si>
  <si>
    <t>NO</t>
  </si>
  <si>
    <t>Appointment Count</t>
  </si>
  <si>
    <t>DNA</t>
  </si>
  <si>
    <t>Follow Up Required</t>
  </si>
  <si>
    <t>Level 1 - What is in front of us?</t>
  </si>
  <si>
    <t>Appt Count</t>
  </si>
  <si>
    <t>DOB</t>
  </si>
  <si>
    <t>On Meds?</t>
  </si>
  <si>
    <t>Dept</t>
  </si>
  <si>
    <t>Follow Up</t>
  </si>
  <si>
    <t>Patients in Dataset</t>
  </si>
  <si>
    <t>Attendance Status</t>
  </si>
  <si>
    <t>Level 2 - Analysing and segmenting patient data to support decisions</t>
  </si>
  <si>
    <t>Birth Month</t>
  </si>
  <si>
    <t>Calculated Age</t>
  </si>
  <si>
    <t>Simple Age</t>
  </si>
  <si>
    <t>Follow Up action</t>
  </si>
  <si>
    <t>Current Month</t>
  </si>
  <si>
    <t>Calculated Age2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</si>
</sst>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textRotation="90"/>
    </xf>
    <xf numFmtId="14" fontId="0" fillId="0" borderId="0" xfId="0" applyNumberFormat="1" applyAlignment="1">
      <alignment textRotation="90"/>
    </xf>
    <xf numFmtId="1" fontId="0" fillId="0" borderId="0" xfId="0" applyNumberFormat="1" applyAlignment="1">
      <alignment textRotation="9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" fontId="0" fillId="0" borderId="0" xfId="0" applyNumberFormat="1" applyAlignment="1">
      <alignment vertical="center" textRotation="90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alignment horizontal="general" vertical="center" textRotation="9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4ACC393-B0D8-4312-A847-77236A8E17D0}" name="Table46" displayName="Table46" ref="A3:O38" totalsRowShown="0">
  <autoFilter ref="A3:O38" xr:uid="{B5E33AA9-D9A2-429B-AA7C-2FD5D18346FC}"/>
  <tableColumns count="15">
    <tableColumn id="1" xr3:uid="{8F5C1AB7-35B5-4DD9-A912-543D4813B15F}" name=" Patient ID "/>
    <tableColumn id="2" xr3:uid="{4959FAA9-3525-4E84-8341-6CD76C2370DC}" name="Full"/>
    <tableColumn id="3" xr3:uid="{124AA2F9-25B4-498C-B2FC-BC900B2A27D5}" name="Name"/>
    <tableColumn id="4" xr3:uid="{48870059-5BFE-459C-B66D-FA7420674D3E}" name="DOB" dataDxfId="12"/>
    <tableColumn id="5" xr3:uid="{94DFE3E0-99B1-4DFE-99B2-BE9CDF7F2C06}" name="Gender"/>
    <tableColumn id="6" xr3:uid="{8F2FC655-C4BF-4F45-AD00-3983C905B266}" name="GP"/>
    <tableColumn id="7" xr3:uid="{A0A3FE58-7ACF-42D8-925F-5EB0CB9791BB}" name="On Meds?"/>
    <tableColumn id="8" xr3:uid="{FA353AF0-A61A-432E-BC95-4025A944BE9D}" name="Appt Count"/>
    <tableColumn id="9" xr3:uid="{342B1D06-D0E2-4A15-A6BF-76851725164F}" name="DNA"/>
    <tableColumn id="10" xr3:uid="{5130BDF1-00A0-4AD3-88F5-757D93202442}" name="Dept"/>
    <tableColumn id="11" xr3:uid="{9AE9801E-2FF0-4605-BDD9-D1A34FB10B7C}" name="Year"/>
    <tableColumn id="12" xr3:uid="{7353B3EE-CA22-4DF5-942D-06BA86579F04}" name="Month"/>
    <tableColumn id="13" xr3:uid="{6759A76F-2370-429F-A221-1B39DE7EDAED}" name="Outcome"/>
    <tableColumn id="14" xr3:uid="{279255DA-7390-40DD-AF88-F66DB9AE3477}" name="Follow Up"/>
    <tableColumn id="19" xr3:uid="{531A00A7-741B-4C81-A98E-FE543B4BD1E7}" name="Attendance Status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BF5D5AF-A45C-4D23-B4A4-503C1E6FEB22}" name="Table469" displayName="Table469" ref="A3:U38" totalsRowShown="0" headerRowDxfId="11">
  <autoFilter ref="A3:U38" xr:uid="{B5E33AA9-D9A2-429B-AA7C-2FD5D18346FC}"/>
  <tableColumns count="21">
    <tableColumn id="1" xr3:uid="{E49B65D3-9D8E-4970-A9E8-04AD52D3536D}" name=" Patient ID "/>
    <tableColumn id="2" xr3:uid="{53ABDA53-1F6E-4A87-992E-682D736DA281}" name="Full"/>
    <tableColumn id="3" xr3:uid="{02E1E92D-4FD4-47F0-B434-6123D523CEED}" name="Name"/>
    <tableColumn id="4" xr3:uid="{F682434D-A6B5-4924-BC14-D70EB3D5B83B}" name="DOB" dataDxfId="10"/>
    <tableColumn id="23" xr3:uid="{72A21E61-FDA7-48E0-BB2F-8A41BF1B83D9}" name="Simple Age" dataDxfId="9"/>
    <tableColumn id="20" xr3:uid="{21A58180-7406-4E4C-AB07-2C237724DABB}" name="Birth Month" dataDxfId="8"/>
    <tableColumn id="25" xr3:uid="{85AE96F9-A575-401D-B5C5-635B7EC0DFA3}" name="Current Month" dataDxfId="7"/>
    <tableColumn id="21" xr3:uid="{A7CD2952-1629-454C-8DCC-17F526FEBED8}" name="Calculated Age" dataDxfId="6"/>
    <tableColumn id="26" xr3:uid="{C8BACC46-6D05-48DC-87A4-16C18F7948BF}" name="Calculated Age2" dataDxfId="5"/>
    <tableColumn id="5" xr3:uid="{7D9EDD0A-C071-4598-BE75-C7AD65B5FD06}" name="Gender"/>
    <tableColumn id="6" xr3:uid="{5F516E8D-5EB6-48DE-A7F8-A23E04951C58}" name="GP"/>
    <tableColumn id="7" xr3:uid="{6E311AC3-9F89-43C9-81BC-D4D548A1B31C}" name="On Meds?"/>
    <tableColumn id="8" xr3:uid="{13424339-47CD-425A-84FD-D44F5975B002}" name="Appt Count"/>
    <tableColumn id="9" xr3:uid="{F6F815C7-030B-4D19-984F-886B69E8771C}" name="DNA"/>
    <tableColumn id="10" xr3:uid="{979E981A-BF19-4350-85DC-6BC2C1233FA2}" name="Dept"/>
    <tableColumn id="11" xr3:uid="{1ADCE9D5-7051-4586-804F-B3753EFC8847}" name="Year"/>
    <tableColumn id="12" xr3:uid="{886EDEBA-AE46-49DA-B105-4D5E877207C7}" name="Month"/>
    <tableColumn id="13" xr3:uid="{EB2CEA37-ADAE-4324-88F1-B48E6BFF89ED}" name="Outcome"/>
    <tableColumn id="14" xr3:uid="{C6623F14-441E-4A45-B41D-1CE956A593BC}" name="Follow Up"/>
    <tableColumn id="19" xr3:uid="{B6928144-F8C3-4EF9-A3B3-9F8C741C9CE1}" name="Attendance Status" dataDxfId="4">
      <calculatedColumnFormula>IF(Table469[[#This Row],[DNA]]="Yes","Has Missed Appointment","Has Not Missed Appointment")</calculatedColumnFormula>
    </tableColumn>
    <tableColumn id="24" xr3:uid="{C610BB5F-E4FA-4841-888D-9EF28367A476}" name="Follow Up action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E33AA9-D9A2-429B-AA7C-2FD5D18346FC}" name="Table4" displayName="Table4" ref="A1:N36" totalsRowShown="0">
  <autoFilter ref="A1:N36" xr:uid="{B5E33AA9-D9A2-429B-AA7C-2FD5D18346FC}"/>
  <tableColumns count="14">
    <tableColumn id="1" xr3:uid="{5B020FD3-EF60-4470-AEA2-4006477865ED}" name=" Patient ID "/>
    <tableColumn id="2" xr3:uid="{DB19BDB4-A1B8-4313-9DD2-2D054537970E}" name="Full"/>
    <tableColumn id="3" xr3:uid="{6F5510CF-F775-43C4-9EC5-ED1FB2B68046}" name="Name"/>
    <tableColumn id="4" xr3:uid="{40CB1A28-2F3E-45E6-AA67-BB3063BF07DE}" name="Date of Birth"/>
    <tableColumn id="5" xr3:uid="{F976B0CE-5D3B-4FB0-B151-91434D90F045}" name="Gender"/>
    <tableColumn id="6" xr3:uid="{46A8A14F-1D19-4F71-9002-26853A610307}" name="GP"/>
    <tableColumn id="7" xr3:uid="{EFB3B488-2D9F-40B8-9E43-BD520B9E32F3}" name="On Medication"/>
    <tableColumn id="8" xr3:uid="{3C80178E-9907-4773-A584-DD07A337EFA7}" name="Appointment Count"/>
    <tableColumn id="9" xr3:uid="{22C73726-148C-44BE-B05E-1FD06FD37D58}" name="DNA"/>
    <tableColumn id="10" xr3:uid="{20C6AD1E-AFB9-4F43-A061-385A8D8698A5}" name="Department"/>
    <tableColumn id="11" xr3:uid="{BC127BFC-34DE-4E5A-BCDF-3A19ACC169BF}" name="Year"/>
    <tableColumn id="12" xr3:uid="{E6622A2B-DDB2-4187-B287-0C33B3F7373B}" name="Month"/>
    <tableColumn id="13" xr3:uid="{D067AEFD-03C2-40CB-B2D6-23A8F400C36F}" name="Outcome"/>
    <tableColumn id="14" xr3:uid="{E24EBDC1-66E1-495B-8D25-8018DB99750F}" name="Follow Up Requir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0BBC-64E8-48F4-BC1E-787BBAED8270}">
  <dimension ref="A1:O38"/>
  <sheetViews>
    <sheetView tabSelected="1" zoomScaleNormal="100" workbookViewId="0">
      <selection activeCell="S17" sqref="S17"/>
    </sheetView>
  </sheetViews>
  <sheetFormatPr defaultRowHeight="15" x14ac:dyDescent="0.25"/>
  <cols>
    <col min="1" max="1" width="12.85546875" customWidth="1"/>
    <col min="4" max="4" width="10.42578125" style="1" bestFit="1" customWidth="1"/>
    <col min="5" max="5" width="9.85546875" customWidth="1"/>
    <col min="7" max="7" width="12.140625" bestFit="1" customWidth="1"/>
    <col min="8" max="8" width="12.42578125" customWidth="1"/>
    <col min="10" max="10" width="10.42578125" bestFit="1" customWidth="1"/>
    <col min="13" max="13" width="11.42578125" customWidth="1"/>
    <col min="14" max="14" width="12" bestFit="1" customWidth="1"/>
    <col min="15" max="15" width="27" bestFit="1" customWidth="1"/>
    <col min="16" max="16" width="3.7109375" customWidth="1"/>
  </cols>
  <sheetData>
    <row r="1" spans="1:15" ht="36" x14ac:dyDescent="0.55000000000000004">
      <c r="A1" s="10" t="s">
        <v>130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5" x14ac:dyDescent="0.25">
      <c r="A3" t="s">
        <v>44</v>
      </c>
      <c r="B3" t="s">
        <v>52</v>
      </c>
      <c r="C3" t="s">
        <v>53</v>
      </c>
      <c r="D3" s="1" t="s">
        <v>132</v>
      </c>
      <c r="E3" t="s">
        <v>46</v>
      </c>
      <c r="F3" t="s">
        <v>47</v>
      </c>
      <c r="G3" t="s">
        <v>133</v>
      </c>
      <c r="H3" t="s">
        <v>131</v>
      </c>
      <c r="I3" t="s">
        <v>128</v>
      </c>
      <c r="J3" t="s">
        <v>134</v>
      </c>
      <c r="K3" t="s">
        <v>38</v>
      </c>
      <c r="L3" t="s">
        <v>39</v>
      </c>
      <c r="M3" t="s">
        <v>41</v>
      </c>
      <c r="N3" t="s">
        <v>135</v>
      </c>
      <c r="O3" t="s">
        <v>137</v>
      </c>
    </row>
    <row r="4" spans="1:15" x14ac:dyDescent="0.25">
      <c r="A4" t="s">
        <v>0</v>
      </c>
      <c r="B4" t="s">
        <v>78</v>
      </c>
      <c r="C4" t="s">
        <v>100</v>
      </c>
      <c r="D4" s="1">
        <v>30814</v>
      </c>
      <c r="E4" t="s">
        <v>49</v>
      </c>
      <c r="F4" t="s">
        <v>50</v>
      </c>
      <c r="G4" t="s">
        <v>126</v>
      </c>
      <c r="H4">
        <v>2</v>
      </c>
      <c r="I4" t="s">
        <v>1</v>
      </c>
      <c r="J4" t="s">
        <v>40</v>
      </c>
      <c r="K4">
        <v>2025</v>
      </c>
      <c r="L4">
        <v>2</v>
      </c>
      <c r="M4" t="s">
        <v>42</v>
      </c>
      <c r="N4" t="s">
        <v>8</v>
      </c>
    </row>
    <row r="5" spans="1:15" x14ac:dyDescent="0.25">
      <c r="A5" t="s">
        <v>2</v>
      </c>
      <c r="B5" t="s">
        <v>54</v>
      </c>
      <c r="C5" t="s">
        <v>101</v>
      </c>
      <c r="D5" s="1">
        <v>25720</v>
      </c>
      <c r="E5" t="s">
        <v>49</v>
      </c>
      <c r="F5" t="s">
        <v>124</v>
      </c>
      <c r="G5" t="s">
        <v>126</v>
      </c>
      <c r="H5">
        <v>3</v>
      </c>
      <c r="I5" t="s">
        <v>1</v>
      </c>
      <c r="J5" t="s">
        <v>40</v>
      </c>
      <c r="K5">
        <v>2025</v>
      </c>
      <c r="L5">
        <v>3</v>
      </c>
      <c r="M5" t="s">
        <v>43</v>
      </c>
      <c r="N5" t="s">
        <v>1</v>
      </c>
    </row>
    <row r="6" spans="1:15" x14ac:dyDescent="0.25">
      <c r="A6" t="s">
        <v>3</v>
      </c>
      <c r="B6" t="s">
        <v>55</v>
      </c>
      <c r="C6" t="s">
        <v>102</v>
      </c>
      <c r="D6" s="1">
        <v>25720</v>
      </c>
      <c r="E6" t="s">
        <v>51</v>
      </c>
      <c r="F6" t="s">
        <v>124</v>
      </c>
      <c r="G6" t="s">
        <v>126</v>
      </c>
      <c r="H6">
        <v>4</v>
      </c>
      <c r="I6" t="s">
        <v>1</v>
      </c>
      <c r="J6" t="s">
        <v>40</v>
      </c>
      <c r="K6">
        <v>2025</v>
      </c>
      <c r="L6">
        <v>4</v>
      </c>
      <c r="M6" t="s">
        <v>43</v>
      </c>
      <c r="N6" t="s">
        <v>1</v>
      </c>
    </row>
    <row r="7" spans="1:15" x14ac:dyDescent="0.25">
      <c r="A7" t="s">
        <v>4</v>
      </c>
      <c r="B7" t="s">
        <v>56</v>
      </c>
      <c r="C7" t="s">
        <v>103</v>
      </c>
      <c r="D7" s="1">
        <v>25720</v>
      </c>
      <c r="E7" t="s">
        <v>51</v>
      </c>
      <c r="F7" t="s">
        <v>50</v>
      </c>
      <c r="G7" t="s">
        <v>126</v>
      </c>
      <c r="H7">
        <v>5</v>
      </c>
      <c r="I7" t="s">
        <v>1</v>
      </c>
      <c r="J7" t="s">
        <v>40</v>
      </c>
      <c r="K7">
        <v>2025</v>
      </c>
      <c r="L7">
        <v>5</v>
      </c>
      <c r="M7" t="s">
        <v>43</v>
      </c>
      <c r="N7" t="s">
        <v>1</v>
      </c>
    </row>
    <row r="8" spans="1:15" x14ac:dyDescent="0.25">
      <c r="A8" t="s">
        <v>5</v>
      </c>
      <c r="B8" t="s">
        <v>57</v>
      </c>
      <c r="C8" t="s">
        <v>104</v>
      </c>
      <c r="D8" s="1">
        <v>30814</v>
      </c>
      <c r="E8" t="s">
        <v>49</v>
      </c>
      <c r="F8" t="s">
        <v>50</v>
      </c>
      <c r="G8" t="s">
        <v>126</v>
      </c>
      <c r="H8">
        <v>1</v>
      </c>
      <c r="I8" t="s">
        <v>1</v>
      </c>
      <c r="J8" t="s">
        <v>40</v>
      </c>
      <c r="K8">
        <v>2025</v>
      </c>
      <c r="L8">
        <v>6</v>
      </c>
      <c r="M8" t="s">
        <v>42</v>
      </c>
      <c r="N8" t="s">
        <v>1</v>
      </c>
    </row>
    <row r="9" spans="1:15" x14ac:dyDescent="0.25">
      <c r="A9" t="s">
        <v>6</v>
      </c>
      <c r="B9" t="s">
        <v>79</v>
      </c>
      <c r="C9" t="s">
        <v>105</v>
      </c>
      <c r="D9" s="1">
        <v>25720</v>
      </c>
      <c r="E9" t="s">
        <v>51</v>
      </c>
      <c r="F9" t="s">
        <v>50</v>
      </c>
      <c r="G9" t="s">
        <v>126</v>
      </c>
      <c r="H9">
        <v>2</v>
      </c>
      <c r="I9" t="s">
        <v>1</v>
      </c>
      <c r="J9" t="s">
        <v>40</v>
      </c>
      <c r="K9">
        <v>2025</v>
      </c>
      <c r="L9">
        <v>7</v>
      </c>
      <c r="M9" t="s">
        <v>43</v>
      </c>
      <c r="N9" t="s">
        <v>1</v>
      </c>
    </row>
    <row r="10" spans="1:15" x14ac:dyDescent="0.25">
      <c r="A10" t="s">
        <v>7</v>
      </c>
      <c r="B10" t="s">
        <v>80</v>
      </c>
      <c r="C10" t="s">
        <v>58</v>
      </c>
      <c r="D10" s="1">
        <v>25720</v>
      </c>
      <c r="E10" t="s">
        <v>49</v>
      </c>
      <c r="F10" t="s">
        <v>50</v>
      </c>
      <c r="G10" t="s">
        <v>125</v>
      </c>
      <c r="H10">
        <v>3</v>
      </c>
      <c r="I10" t="s">
        <v>8</v>
      </c>
      <c r="J10" t="s">
        <v>40</v>
      </c>
      <c r="K10">
        <v>2025</v>
      </c>
      <c r="L10">
        <v>8</v>
      </c>
      <c r="M10" t="s">
        <v>43</v>
      </c>
      <c r="N10" t="s">
        <v>8</v>
      </c>
    </row>
    <row r="11" spans="1:15" x14ac:dyDescent="0.25">
      <c r="A11" t="s">
        <v>9</v>
      </c>
      <c r="B11" t="s">
        <v>81</v>
      </c>
      <c r="C11" t="s">
        <v>59</v>
      </c>
      <c r="D11" s="1">
        <v>25574</v>
      </c>
      <c r="E11" t="s">
        <v>51</v>
      </c>
      <c r="F11" t="s">
        <v>50</v>
      </c>
      <c r="G11" t="s">
        <v>126</v>
      </c>
      <c r="H11">
        <v>4</v>
      </c>
      <c r="I11" t="s">
        <v>1</v>
      </c>
      <c r="J11" t="s">
        <v>40</v>
      </c>
      <c r="K11">
        <v>2025</v>
      </c>
      <c r="L11">
        <v>9</v>
      </c>
      <c r="M11" t="s">
        <v>43</v>
      </c>
      <c r="N11" t="s">
        <v>1</v>
      </c>
    </row>
    <row r="12" spans="1:15" x14ac:dyDescent="0.25">
      <c r="A12" t="s">
        <v>10</v>
      </c>
      <c r="B12" t="s">
        <v>60</v>
      </c>
      <c r="C12" t="s">
        <v>106</v>
      </c>
      <c r="D12" s="1">
        <v>30814</v>
      </c>
      <c r="E12" t="s">
        <v>49</v>
      </c>
      <c r="F12" t="s">
        <v>124</v>
      </c>
      <c r="G12" t="s">
        <v>125</v>
      </c>
      <c r="H12">
        <v>5</v>
      </c>
      <c r="I12" t="s">
        <v>1</v>
      </c>
      <c r="J12" t="s">
        <v>40</v>
      </c>
      <c r="K12">
        <v>2025</v>
      </c>
      <c r="L12">
        <v>10</v>
      </c>
      <c r="M12" t="s">
        <v>42</v>
      </c>
      <c r="N12" t="s">
        <v>1</v>
      </c>
    </row>
    <row r="13" spans="1:15" x14ac:dyDescent="0.25">
      <c r="A13" t="s">
        <v>11</v>
      </c>
      <c r="B13" t="s">
        <v>61</v>
      </c>
      <c r="C13" t="s">
        <v>107</v>
      </c>
      <c r="D13" s="1">
        <v>33200</v>
      </c>
      <c r="E13" t="s">
        <v>51</v>
      </c>
      <c r="F13" t="s">
        <v>124</v>
      </c>
      <c r="G13" t="s">
        <v>125</v>
      </c>
      <c r="H13">
        <v>1</v>
      </c>
      <c r="I13" t="s">
        <v>1</v>
      </c>
      <c r="J13" t="s">
        <v>40</v>
      </c>
      <c r="K13">
        <v>2025</v>
      </c>
      <c r="L13">
        <v>11</v>
      </c>
      <c r="M13" t="s">
        <v>43</v>
      </c>
      <c r="N13" t="s">
        <v>1</v>
      </c>
    </row>
    <row r="14" spans="1:15" x14ac:dyDescent="0.25">
      <c r="A14" t="s">
        <v>12</v>
      </c>
      <c r="B14" t="s">
        <v>82</v>
      </c>
      <c r="C14" t="s">
        <v>62</v>
      </c>
      <c r="D14" s="1">
        <v>33200</v>
      </c>
      <c r="E14" t="s">
        <v>51</v>
      </c>
      <c r="F14" t="s">
        <v>50</v>
      </c>
      <c r="G14" t="s">
        <v>126</v>
      </c>
      <c r="H14">
        <v>2</v>
      </c>
      <c r="I14" t="s">
        <v>1</v>
      </c>
      <c r="J14" t="s">
        <v>40</v>
      </c>
      <c r="K14">
        <v>2025</v>
      </c>
      <c r="L14">
        <v>12</v>
      </c>
      <c r="M14" t="s">
        <v>43</v>
      </c>
      <c r="N14" t="s">
        <v>1</v>
      </c>
    </row>
    <row r="15" spans="1:15" x14ac:dyDescent="0.25">
      <c r="A15" t="s">
        <v>13</v>
      </c>
      <c r="B15" t="s">
        <v>83</v>
      </c>
      <c r="C15" t="s">
        <v>108</v>
      </c>
      <c r="D15" s="1">
        <v>30814</v>
      </c>
      <c r="E15" t="s">
        <v>49</v>
      </c>
      <c r="F15" t="s">
        <v>50</v>
      </c>
      <c r="G15" t="s">
        <v>126</v>
      </c>
      <c r="H15">
        <v>3</v>
      </c>
      <c r="I15" t="s">
        <v>1</v>
      </c>
      <c r="J15" t="s">
        <v>40</v>
      </c>
      <c r="K15">
        <v>2025</v>
      </c>
      <c r="L15">
        <v>1</v>
      </c>
      <c r="M15" t="s">
        <v>43</v>
      </c>
      <c r="N15" t="s">
        <v>1</v>
      </c>
    </row>
    <row r="16" spans="1:15" x14ac:dyDescent="0.25">
      <c r="A16" t="s">
        <v>14</v>
      </c>
      <c r="B16" t="s">
        <v>63</v>
      </c>
      <c r="C16" t="s">
        <v>109</v>
      </c>
      <c r="D16" s="1">
        <v>25720</v>
      </c>
      <c r="E16" t="s">
        <v>49</v>
      </c>
      <c r="F16" t="s">
        <v>50</v>
      </c>
      <c r="G16" t="s">
        <v>125</v>
      </c>
      <c r="H16">
        <v>4</v>
      </c>
      <c r="I16" t="s">
        <v>1</v>
      </c>
      <c r="J16" t="s">
        <v>40</v>
      </c>
      <c r="K16">
        <v>2025</v>
      </c>
      <c r="L16">
        <v>2</v>
      </c>
      <c r="M16" t="s">
        <v>42</v>
      </c>
      <c r="N16" t="s">
        <v>8</v>
      </c>
    </row>
    <row r="17" spans="1:14" x14ac:dyDescent="0.25">
      <c r="A17" t="s">
        <v>15</v>
      </c>
      <c r="B17" t="s">
        <v>84</v>
      </c>
      <c r="C17" t="s">
        <v>110</v>
      </c>
      <c r="D17" s="1">
        <v>25720</v>
      </c>
      <c r="E17" t="s">
        <v>51</v>
      </c>
      <c r="F17" t="s">
        <v>50</v>
      </c>
      <c r="G17" t="s">
        <v>125</v>
      </c>
      <c r="H17">
        <v>5</v>
      </c>
      <c r="I17" t="s">
        <v>8</v>
      </c>
      <c r="J17" t="s">
        <v>40</v>
      </c>
      <c r="K17">
        <v>2025</v>
      </c>
      <c r="L17">
        <v>3</v>
      </c>
      <c r="M17" t="s">
        <v>43</v>
      </c>
      <c r="N17" t="s">
        <v>1</v>
      </c>
    </row>
    <row r="18" spans="1:14" x14ac:dyDescent="0.25">
      <c r="A18" t="s">
        <v>16</v>
      </c>
      <c r="B18" t="s">
        <v>85</v>
      </c>
      <c r="C18" t="s">
        <v>64</v>
      </c>
      <c r="D18" s="1">
        <v>25720</v>
      </c>
      <c r="E18" t="s">
        <v>49</v>
      </c>
      <c r="F18" t="s">
        <v>124</v>
      </c>
      <c r="G18" t="s">
        <v>126</v>
      </c>
      <c r="H18">
        <v>1</v>
      </c>
      <c r="I18" t="s">
        <v>1</v>
      </c>
      <c r="J18" t="s">
        <v>40</v>
      </c>
      <c r="K18">
        <v>2025</v>
      </c>
      <c r="L18">
        <v>4</v>
      </c>
      <c r="M18" t="s">
        <v>43</v>
      </c>
      <c r="N18" t="s">
        <v>1</v>
      </c>
    </row>
    <row r="19" spans="1:14" x14ac:dyDescent="0.25">
      <c r="A19" t="s">
        <v>17</v>
      </c>
      <c r="B19" t="s">
        <v>86</v>
      </c>
      <c r="C19" t="s">
        <v>65</v>
      </c>
      <c r="D19" s="1">
        <v>25720</v>
      </c>
      <c r="E19" t="s">
        <v>49</v>
      </c>
      <c r="F19" t="s">
        <v>124</v>
      </c>
      <c r="G19" t="s">
        <v>126</v>
      </c>
      <c r="H19">
        <v>2</v>
      </c>
      <c r="I19" t="s">
        <v>1</v>
      </c>
      <c r="J19" t="s">
        <v>40</v>
      </c>
      <c r="K19">
        <v>2025</v>
      </c>
      <c r="L19">
        <v>5</v>
      </c>
      <c r="M19" t="s">
        <v>43</v>
      </c>
      <c r="N19" t="s">
        <v>1</v>
      </c>
    </row>
    <row r="20" spans="1:14" x14ac:dyDescent="0.25">
      <c r="A20" t="s">
        <v>18</v>
      </c>
      <c r="B20" t="s">
        <v>87</v>
      </c>
      <c r="C20" t="s">
        <v>111</v>
      </c>
      <c r="D20" s="1">
        <v>25720</v>
      </c>
      <c r="E20" t="s">
        <v>51</v>
      </c>
      <c r="F20" t="s">
        <v>50</v>
      </c>
      <c r="G20" t="s">
        <v>125</v>
      </c>
      <c r="H20">
        <v>3</v>
      </c>
      <c r="I20" t="s">
        <v>1</v>
      </c>
      <c r="J20" t="s">
        <v>40</v>
      </c>
      <c r="K20">
        <v>2025</v>
      </c>
      <c r="L20">
        <v>6</v>
      </c>
      <c r="M20" t="s">
        <v>42</v>
      </c>
      <c r="N20" t="s">
        <v>1</v>
      </c>
    </row>
    <row r="21" spans="1:14" x14ac:dyDescent="0.25">
      <c r="A21" t="s">
        <v>19</v>
      </c>
      <c r="B21" t="s">
        <v>88</v>
      </c>
      <c r="C21" t="s">
        <v>112</v>
      </c>
      <c r="D21" s="1">
        <v>33200</v>
      </c>
      <c r="E21" t="s">
        <v>49</v>
      </c>
      <c r="F21" t="s">
        <v>50</v>
      </c>
      <c r="G21" t="s">
        <v>125</v>
      </c>
      <c r="H21">
        <v>4</v>
      </c>
      <c r="I21" t="s">
        <v>1</v>
      </c>
      <c r="J21" t="s">
        <v>40</v>
      </c>
      <c r="K21">
        <v>2025</v>
      </c>
      <c r="L21">
        <v>7</v>
      </c>
      <c r="M21" t="s">
        <v>43</v>
      </c>
      <c r="N21" t="s">
        <v>1</v>
      </c>
    </row>
    <row r="22" spans="1:14" x14ac:dyDescent="0.25">
      <c r="A22" t="s">
        <v>20</v>
      </c>
      <c r="B22" t="s">
        <v>89</v>
      </c>
      <c r="C22" t="s">
        <v>66</v>
      </c>
      <c r="D22" s="1">
        <v>25720</v>
      </c>
      <c r="E22" t="s">
        <v>49</v>
      </c>
      <c r="F22" t="s">
        <v>50</v>
      </c>
      <c r="G22" t="s">
        <v>126</v>
      </c>
      <c r="H22">
        <v>5</v>
      </c>
      <c r="I22" t="s">
        <v>1</v>
      </c>
      <c r="J22" t="s">
        <v>40</v>
      </c>
      <c r="K22">
        <v>2025</v>
      </c>
      <c r="L22">
        <v>8</v>
      </c>
      <c r="M22" t="s">
        <v>43</v>
      </c>
      <c r="N22" t="s">
        <v>8</v>
      </c>
    </row>
    <row r="23" spans="1:14" x14ac:dyDescent="0.25">
      <c r="A23" t="s">
        <v>21</v>
      </c>
      <c r="B23" t="s">
        <v>90</v>
      </c>
      <c r="C23" t="s">
        <v>67</v>
      </c>
      <c r="D23" s="1">
        <v>33200</v>
      </c>
      <c r="E23" t="s">
        <v>49</v>
      </c>
      <c r="F23" t="s">
        <v>50</v>
      </c>
      <c r="G23" t="s">
        <v>125</v>
      </c>
      <c r="H23">
        <v>1</v>
      </c>
      <c r="I23" t="s">
        <v>1</v>
      </c>
      <c r="J23" t="s">
        <v>40</v>
      </c>
      <c r="K23">
        <v>2025</v>
      </c>
      <c r="L23">
        <v>9</v>
      </c>
      <c r="M23" t="s">
        <v>43</v>
      </c>
      <c r="N23" t="s">
        <v>1</v>
      </c>
    </row>
    <row r="24" spans="1:14" x14ac:dyDescent="0.25">
      <c r="A24" t="s">
        <v>22</v>
      </c>
      <c r="B24" t="s">
        <v>91</v>
      </c>
      <c r="C24" t="s">
        <v>113</v>
      </c>
      <c r="D24" s="1">
        <v>30814</v>
      </c>
      <c r="E24" t="s">
        <v>51</v>
      </c>
      <c r="F24" t="s">
        <v>50</v>
      </c>
      <c r="G24" t="s">
        <v>126</v>
      </c>
      <c r="H24">
        <v>2</v>
      </c>
      <c r="I24" t="s">
        <v>8</v>
      </c>
      <c r="J24" t="s">
        <v>40</v>
      </c>
      <c r="K24">
        <v>2025</v>
      </c>
      <c r="L24">
        <v>10</v>
      </c>
      <c r="M24" t="s">
        <v>42</v>
      </c>
      <c r="N24" t="s">
        <v>1</v>
      </c>
    </row>
    <row r="25" spans="1:14" x14ac:dyDescent="0.25">
      <c r="A25" t="s">
        <v>23</v>
      </c>
      <c r="B25" t="s">
        <v>92</v>
      </c>
      <c r="C25" t="s">
        <v>114</v>
      </c>
      <c r="D25" s="1">
        <v>30814</v>
      </c>
      <c r="E25" t="s">
        <v>49</v>
      </c>
      <c r="F25" t="s">
        <v>50</v>
      </c>
      <c r="G25" t="s">
        <v>125</v>
      </c>
      <c r="H25">
        <v>3</v>
      </c>
      <c r="I25" t="s">
        <v>1</v>
      </c>
      <c r="J25" t="s">
        <v>40</v>
      </c>
      <c r="K25">
        <v>2025</v>
      </c>
      <c r="L25">
        <v>11</v>
      </c>
      <c r="M25" t="s">
        <v>43</v>
      </c>
      <c r="N25" t="s">
        <v>1</v>
      </c>
    </row>
    <row r="26" spans="1:14" x14ac:dyDescent="0.25">
      <c r="A26" t="s">
        <v>24</v>
      </c>
      <c r="B26" t="s">
        <v>68</v>
      </c>
      <c r="C26" t="s">
        <v>115</v>
      </c>
      <c r="D26" s="1">
        <v>25720</v>
      </c>
      <c r="E26" t="s">
        <v>49</v>
      </c>
      <c r="F26" t="s">
        <v>124</v>
      </c>
      <c r="G26" t="s">
        <v>126</v>
      </c>
      <c r="H26">
        <v>4</v>
      </c>
      <c r="I26" t="s">
        <v>1</v>
      </c>
      <c r="J26" t="s">
        <v>40</v>
      </c>
      <c r="K26">
        <v>2025</v>
      </c>
      <c r="L26">
        <v>12</v>
      </c>
      <c r="M26" t="s">
        <v>43</v>
      </c>
      <c r="N26" t="s">
        <v>1</v>
      </c>
    </row>
    <row r="27" spans="1:14" x14ac:dyDescent="0.25">
      <c r="A27" t="s">
        <v>25</v>
      </c>
      <c r="B27" t="s">
        <v>69</v>
      </c>
      <c r="C27" t="s">
        <v>116</v>
      </c>
      <c r="D27" s="1">
        <v>30814</v>
      </c>
      <c r="E27" t="s">
        <v>51</v>
      </c>
      <c r="F27" t="s">
        <v>124</v>
      </c>
      <c r="G27" t="s">
        <v>126</v>
      </c>
      <c r="H27">
        <v>5</v>
      </c>
      <c r="I27" t="s">
        <v>1</v>
      </c>
      <c r="J27" t="s">
        <v>40</v>
      </c>
      <c r="K27">
        <v>2025</v>
      </c>
      <c r="L27">
        <v>1</v>
      </c>
      <c r="M27" t="s">
        <v>43</v>
      </c>
      <c r="N27" t="s">
        <v>1</v>
      </c>
    </row>
    <row r="28" spans="1:14" x14ac:dyDescent="0.25">
      <c r="A28" t="s">
        <v>26</v>
      </c>
      <c r="B28" t="s">
        <v>93</v>
      </c>
      <c r="C28" t="s">
        <v>117</v>
      </c>
      <c r="D28" s="1">
        <v>33200</v>
      </c>
      <c r="E28" t="s">
        <v>49</v>
      </c>
      <c r="F28" t="s">
        <v>50</v>
      </c>
      <c r="G28" t="s">
        <v>126</v>
      </c>
      <c r="H28">
        <v>1</v>
      </c>
      <c r="I28" t="s">
        <v>1</v>
      </c>
      <c r="J28" t="s">
        <v>40</v>
      </c>
      <c r="K28">
        <v>2025</v>
      </c>
      <c r="L28">
        <v>2</v>
      </c>
      <c r="M28" t="s">
        <v>42</v>
      </c>
      <c r="N28" t="s">
        <v>8</v>
      </c>
    </row>
    <row r="29" spans="1:14" x14ac:dyDescent="0.25">
      <c r="A29" t="s">
        <v>27</v>
      </c>
      <c r="B29" t="s">
        <v>94</v>
      </c>
      <c r="C29" t="s">
        <v>118</v>
      </c>
      <c r="D29" s="1">
        <v>30814</v>
      </c>
      <c r="E29" t="s">
        <v>51</v>
      </c>
      <c r="F29" t="s">
        <v>50</v>
      </c>
      <c r="G29" t="s">
        <v>126</v>
      </c>
      <c r="H29">
        <v>2</v>
      </c>
      <c r="I29" t="s">
        <v>1</v>
      </c>
      <c r="J29" t="s">
        <v>40</v>
      </c>
      <c r="K29">
        <v>2025</v>
      </c>
      <c r="L29">
        <v>3</v>
      </c>
      <c r="M29" t="s">
        <v>43</v>
      </c>
      <c r="N29" t="s">
        <v>1</v>
      </c>
    </row>
    <row r="30" spans="1:14" x14ac:dyDescent="0.25">
      <c r="A30" t="s">
        <v>28</v>
      </c>
      <c r="B30" t="s">
        <v>70</v>
      </c>
      <c r="C30" t="s">
        <v>119</v>
      </c>
      <c r="D30" s="1">
        <v>25574</v>
      </c>
      <c r="E30" t="s">
        <v>51</v>
      </c>
      <c r="F30" t="s">
        <v>50</v>
      </c>
      <c r="G30" t="s">
        <v>125</v>
      </c>
      <c r="H30">
        <v>3</v>
      </c>
      <c r="I30" t="s">
        <v>1</v>
      </c>
      <c r="J30" t="s">
        <v>40</v>
      </c>
      <c r="K30">
        <v>2025</v>
      </c>
      <c r="L30">
        <v>4</v>
      </c>
      <c r="M30" t="s">
        <v>43</v>
      </c>
      <c r="N30" t="s">
        <v>1</v>
      </c>
    </row>
    <row r="31" spans="1:14" x14ac:dyDescent="0.25">
      <c r="A31" t="s">
        <v>29</v>
      </c>
      <c r="B31" t="s">
        <v>71</v>
      </c>
      <c r="C31" t="s">
        <v>120</v>
      </c>
      <c r="D31" s="1">
        <v>30814</v>
      </c>
      <c r="E31" t="s">
        <v>49</v>
      </c>
      <c r="F31" t="s">
        <v>50</v>
      </c>
      <c r="G31" t="s">
        <v>125</v>
      </c>
      <c r="H31">
        <v>4</v>
      </c>
      <c r="I31" t="s">
        <v>8</v>
      </c>
      <c r="J31" t="s">
        <v>40</v>
      </c>
      <c r="K31">
        <v>2025</v>
      </c>
      <c r="L31">
        <v>5</v>
      </c>
      <c r="M31" t="s">
        <v>43</v>
      </c>
      <c r="N31" t="s">
        <v>1</v>
      </c>
    </row>
    <row r="32" spans="1:14" x14ac:dyDescent="0.25">
      <c r="A32" t="s">
        <v>30</v>
      </c>
      <c r="B32" t="s">
        <v>95</v>
      </c>
      <c r="C32" t="s">
        <v>121</v>
      </c>
      <c r="D32" s="1">
        <v>30814</v>
      </c>
      <c r="E32" t="s">
        <v>49</v>
      </c>
      <c r="F32" t="s">
        <v>124</v>
      </c>
      <c r="G32" t="s">
        <v>126</v>
      </c>
      <c r="H32">
        <v>5</v>
      </c>
      <c r="I32" t="s">
        <v>1</v>
      </c>
      <c r="J32" t="s">
        <v>40</v>
      </c>
      <c r="K32">
        <v>2025</v>
      </c>
      <c r="L32">
        <v>6</v>
      </c>
      <c r="M32" t="s">
        <v>42</v>
      </c>
      <c r="N32" t="s">
        <v>1</v>
      </c>
    </row>
    <row r="33" spans="1:14" x14ac:dyDescent="0.25">
      <c r="A33" t="s">
        <v>31</v>
      </c>
      <c r="B33" t="s">
        <v>96</v>
      </c>
      <c r="C33" t="s">
        <v>72</v>
      </c>
      <c r="D33" s="1">
        <v>30814</v>
      </c>
      <c r="E33" t="s">
        <v>51</v>
      </c>
      <c r="F33" t="s">
        <v>124</v>
      </c>
      <c r="G33" t="s">
        <v>125</v>
      </c>
      <c r="H33">
        <v>1</v>
      </c>
      <c r="I33" t="s">
        <v>1</v>
      </c>
      <c r="J33" t="s">
        <v>40</v>
      </c>
      <c r="K33">
        <v>2025</v>
      </c>
      <c r="L33">
        <v>7</v>
      </c>
      <c r="M33" t="s">
        <v>43</v>
      </c>
      <c r="N33" t="s">
        <v>1</v>
      </c>
    </row>
    <row r="34" spans="1:14" x14ac:dyDescent="0.25">
      <c r="A34" t="s">
        <v>32</v>
      </c>
      <c r="B34" t="s">
        <v>73</v>
      </c>
      <c r="C34" t="s">
        <v>122</v>
      </c>
      <c r="D34" s="1">
        <v>33200</v>
      </c>
      <c r="E34" t="s">
        <v>49</v>
      </c>
      <c r="F34" t="s">
        <v>50</v>
      </c>
      <c r="G34" t="s">
        <v>125</v>
      </c>
      <c r="H34">
        <v>2</v>
      </c>
      <c r="I34" t="s">
        <v>1</v>
      </c>
      <c r="J34" t="s">
        <v>40</v>
      </c>
      <c r="K34">
        <v>2025</v>
      </c>
      <c r="L34">
        <v>8</v>
      </c>
      <c r="M34" t="s">
        <v>43</v>
      </c>
      <c r="N34" t="s">
        <v>8</v>
      </c>
    </row>
    <row r="35" spans="1:14" x14ac:dyDescent="0.25">
      <c r="A35" t="s">
        <v>33</v>
      </c>
      <c r="B35" t="s">
        <v>97</v>
      </c>
      <c r="C35" t="s">
        <v>74</v>
      </c>
      <c r="D35" s="1">
        <v>25720</v>
      </c>
      <c r="E35" t="s">
        <v>51</v>
      </c>
      <c r="F35" t="s">
        <v>124</v>
      </c>
      <c r="G35" t="s">
        <v>126</v>
      </c>
      <c r="H35">
        <v>3</v>
      </c>
      <c r="I35" t="s">
        <v>1</v>
      </c>
      <c r="J35" t="s">
        <v>40</v>
      </c>
      <c r="K35">
        <v>2025</v>
      </c>
      <c r="L35">
        <v>9</v>
      </c>
      <c r="M35" t="s">
        <v>43</v>
      </c>
      <c r="N35" t="s">
        <v>1</v>
      </c>
    </row>
    <row r="36" spans="1:14" x14ac:dyDescent="0.25">
      <c r="A36" t="s">
        <v>34</v>
      </c>
      <c r="B36" t="s">
        <v>75</v>
      </c>
      <c r="C36" t="s">
        <v>123</v>
      </c>
      <c r="D36" s="1">
        <v>30814</v>
      </c>
      <c r="E36" t="s">
        <v>51</v>
      </c>
      <c r="F36" t="s">
        <v>124</v>
      </c>
      <c r="G36" t="s">
        <v>125</v>
      </c>
      <c r="H36">
        <v>4</v>
      </c>
      <c r="I36" t="s">
        <v>1</v>
      </c>
      <c r="J36" t="s">
        <v>40</v>
      </c>
      <c r="K36">
        <v>2025</v>
      </c>
      <c r="L36">
        <v>10</v>
      </c>
      <c r="M36" t="s">
        <v>42</v>
      </c>
      <c r="N36" t="s">
        <v>1</v>
      </c>
    </row>
    <row r="37" spans="1:14" x14ac:dyDescent="0.25">
      <c r="A37" t="s">
        <v>35</v>
      </c>
      <c r="B37" t="s">
        <v>98</v>
      </c>
      <c r="C37" t="s">
        <v>76</v>
      </c>
      <c r="D37" s="1">
        <v>30814</v>
      </c>
      <c r="E37" t="s">
        <v>51</v>
      </c>
      <c r="F37" t="s">
        <v>124</v>
      </c>
      <c r="G37" t="s">
        <v>126</v>
      </c>
      <c r="H37">
        <v>5</v>
      </c>
      <c r="I37" t="s">
        <v>1</v>
      </c>
      <c r="J37" t="s">
        <v>40</v>
      </c>
      <c r="K37">
        <v>2025</v>
      </c>
      <c r="L37">
        <v>11</v>
      </c>
      <c r="M37" t="s">
        <v>43</v>
      </c>
      <c r="N37" t="s">
        <v>1</v>
      </c>
    </row>
    <row r="38" spans="1:14" x14ac:dyDescent="0.25">
      <c r="A38" t="s">
        <v>36</v>
      </c>
      <c r="B38" t="s">
        <v>99</v>
      </c>
      <c r="C38" t="s">
        <v>77</v>
      </c>
      <c r="D38" s="1">
        <v>25720</v>
      </c>
      <c r="E38" t="s">
        <v>49</v>
      </c>
      <c r="F38" t="s">
        <v>124</v>
      </c>
      <c r="G38" t="s">
        <v>125</v>
      </c>
      <c r="H38">
        <v>1</v>
      </c>
      <c r="I38" t="s">
        <v>8</v>
      </c>
      <c r="J38" t="s">
        <v>40</v>
      </c>
      <c r="K38">
        <v>2025</v>
      </c>
      <c r="L38">
        <v>12</v>
      </c>
      <c r="M38" t="s">
        <v>43</v>
      </c>
      <c r="N38" t="s">
        <v>1</v>
      </c>
    </row>
  </sheetData>
  <mergeCells count="1">
    <mergeCell ref="A1:N1"/>
  </mergeCells>
  <conditionalFormatting sqref="O4:O38">
    <cfRule type="containsText" dxfId="1" priority="1" operator="containsText" text="Not">
      <formula>NOT(ISERROR(SEARCH("Not",O4)))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250BA-D121-4B99-9EB2-699DEC2E27E4}">
  <dimension ref="A1:U45"/>
  <sheetViews>
    <sheetView zoomScaleNormal="100" workbookViewId="0">
      <selection activeCell="J55" sqref="J55"/>
    </sheetView>
  </sheetViews>
  <sheetFormatPr defaultRowHeight="15" x14ac:dyDescent="0.25"/>
  <cols>
    <col min="1" max="1" width="7.140625" bestFit="1" customWidth="1"/>
    <col min="4" max="4" width="10.42578125" style="1" bestFit="1" customWidth="1"/>
    <col min="5" max="5" width="13.28515625" style="3" bestFit="1" customWidth="1"/>
    <col min="6" max="6" width="13.7109375" style="3" bestFit="1" customWidth="1"/>
    <col min="7" max="7" width="13.7109375" style="3" customWidth="1"/>
    <col min="8" max="8" width="16.85546875" style="3" bestFit="1" customWidth="1"/>
    <col min="9" max="9" width="16.85546875" style="3" customWidth="1"/>
    <col min="10" max="10" width="9.85546875" customWidth="1"/>
    <col min="12" max="12" width="12.140625" bestFit="1" customWidth="1"/>
    <col min="13" max="13" width="12.42578125" customWidth="1"/>
    <col min="15" max="15" width="10.42578125" bestFit="1" customWidth="1"/>
    <col min="18" max="18" width="11.42578125" customWidth="1"/>
    <col min="19" max="19" width="12" bestFit="1" customWidth="1"/>
    <col min="20" max="20" width="27" bestFit="1" customWidth="1"/>
    <col min="21" max="21" width="18.140625" bestFit="1" customWidth="1"/>
  </cols>
  <sheetData>
    <row r="1" spans="1:21" ht="36" x14ac:dyDescent="0.55000000000000004">
      <c r="A1" s="10" t="s">
        <v>138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1" s="4" customFormat="1" x14ac:dyDescent="0.25">
      <c r="D2" s="5"/>
      <c r="E2" s="6"/>
      <c r="F2" s="6"/>
      <c r="G2" s="6"/>
      <c r="H2" s="6"/>
      <c r="I2" s="6"/>
    </row>
    <row r="3" spans="1:21" s="4" customFormat="1" ht="123.75" customHeight="1" x14ac:dyDescent="0.25">
      <c r="A3" s="7" t="s">
        <v>44</v>
      </c>
      <c r="B3" s="7" t="s">
        <v>52</v>
      </c>
      <c r="C3" s="7" t="s">
        <v>53</v>
      </c>
      <c r="D3" s="8" t="s">
        <v>132</v>
      </c>
      <c r="E3" s="9" t="s">
        <v>141</v>
      </c>
      <c r="F3" s="9" t="s">
        <v>139</v>
      </c>
      <c r="G3" s="9" t="s">
        <v>143</v>
      </c>
      <c r="H3" s="9" t="s">
        <v>140</v>
      </c>
      <c r="I3" s="9" t="s">
        <v>144</v>
      </c>
      <c r="J3" s="7" t="s">
        <v>46</v>
      </c>
      <c r="K3" s="7" t="s">
        <v>47</v>
      </c>
      <c r="L3" s="7" t="s">
        <v>133</v>
      </c>
      <c r="M3" s="7" t="s">
        <v>131</v>
      </c>
      <c r="N3" s="7" t="s">
        <v>128</v>
      </c>
      <c r="O3" s="7" t="s">
        <v>134</v>
      </c>
      <c r="P3" s="7" t="s">
        <v>38</v>
      </c>
      <c r="Q3" s="7" t="s">
        <v>39</v>
      </c>
      <c r="R3" s="7" t="s">
        <v>41</v>
      </c>
      <c r="S3" s="7" t="s">
        <v>135</v>
      </c>
      <c r="T3" s="7" t="s">
        <v>137</v>
      </c>
      <c r="U3" s="7" t="s">
        <v>142</v>
      </c>
    </row>
    <row r="4" spans="1:21" x14ac:dyDescent="0.25">
      <c r="A4" t="s">
        <v>0</v>
      </c>
      <c r="B4" t="s">
        <v>78</v>
      </c>
      <c r="C4" t="s">
        <v>100</v>
      </c>
      <c r="D4" s="1">
        <v>30814</v>
      </c>
      <c r="J4" t="s">
        <v>49</v>
      </c>
      <c r="K4" t="s">
        <v>50</v>
      </c>
      <c r="L4" t="s">
        <v>126</v>
      </c>
      <c r="M4">
        <v>2</v>
      </c>
      <c r="N4" t="s">
        <v>1</v>
      </c>
      <c r="O4" t="s">
        <v>40</v>
      </c>
      <c r="P4">
        <v>2025</v>
      </c>
      <c r="Q4">
        <v>2</v>
      </c>
      <c r="R4" t="s">
        <v>42</v>
      </c>
      <c r="S4" t="s">
        <v>8</v>
      </c>
      <c r="T4" t="str">
        <f>IF(Table469[[#This Row],[DNA]]="Yes","Has Missed Appointment","Has Not Missed Appointment")</f>
        <v>Has Not Missed Appointment</v>
      </c>
    </row>
    <row r="5" spans="1:21" x14ac:dyDescent="0.25">
      <c r="A5" t="s">
        <v>2</v>
      </c>
      <c r="B5" t="s">
        <v>54</v>
      </c>
      <c r="C5" t="s">
        <v>101</v>
      </c>
      <c r="D5" s="1">
        <v>25720</v>
      </c>
      <c r="J5" t="s">
        <v>49</v>
      </c>
      <c r="K5" t="s">
        <v>124</v>
      </c>
      <c r="L5" t="s">
        <v>126</v>
      </c>
      <c r="M5">
        <v>3</v>
      </c>
      <c r="N5" t="s">
        <v>1</v>
      </c>
      <c r="O5" t="s">
        <v>40</v>
      </c>
      <c r="P5">
        <v>2025</v>
      </c>
      <c r="Q5">
        <v>3</v>
      </c>
      <c r="R5" t="s">
        <v>43</v>
      </c>
      <c r="S5" t="s">
        <v>1</v>
      </c>
      <c r="T5" t="str">
        <f>IF(Table469[[#This Row],[DNA]]="Yes","Has Missed Appointment","Has Not Missed Appointment")</f>
        <v>Has Not Missed Appointment</v>
      </c>
    </row>
    <row r="6" spans="1:21" x14ac:dyDescent="0.25">
      <c r="A6" t="s">
        <v>3</v>
      </c>
      <c r="B6" t="s">
        <v>55</v>
      </c>
      <c r="C6" t="s">
        <v>102</v>
      </c>
      <c r="D6" s="1">
        <v>25720</v>
      </c>
      <c r="J6" t="s">
        <v>51</v>
      </c>
      <c r="K6" t="s">
        <v>124</v>
      </c>
      <c r="L6" t="s">
        <v>126</v>
      </c>
      <c r="M6">
        <v>4</v>
      </c>
      <c r="N6" t="s">
        <v>1</v>
      </c>
      <c r="O6" t="s">
        <v>40</v>
      </c>
      <c r="P6">
        <v>2025</v>
      </c>
      <c r="Q6">
        <v>4</v>
      </c>
      <c r="R6" t="s">
        <v>43</v>
      </c>
      <c r="S6" t="s">
        <v>1</v>
      </c>
      <c r="T6" t="str">
        <f>IF(Table469[[#This Row],[DNA]]="Yes","Has Missed Appointment","Has Not Missed Appointment")</f>
        <v>Has Not Missed Appointment</v>
      </c>
    </row>
    <row r="7" spans="1:21" x14ac:dyDescent="0.25">
      <c r="A7" t="s">
        <v>4</v>
      </c>
      <c r="B7" t="s">
        <v>56</v>
      </c>
      <c r="C7" t="s">
        <v>103</v>
      </c>
      <c r="D7" s="1">
        <v>25720</v>
      </c>
      <c r="J7" t="s">
        <v>51</v>
      </c>
      <c r="K7" t="s">
        <v>50</v>
      </c>
      <c r="L7" t="s">
        <v>126</v>
      </c>
      <c r="M7">
        <v>5</v>
      </c>
      <c r="N7" t="s">
        <v>1</v>
      </c>
      <c r="O7" t="s">
        <v>40</v>
      </c>
      <c r="P7">
        <v>2025</v>
      </c>
      <c r="Q7">
        <v>5</v>
      </c>
      <c r="R7" t="s">
        <v>43</v>
      </c>
      <c r="S7" t="s">
        <v>1</v>
      </c>
      <c r="T7" t="str">
        <f>IF(Table469[[#This Row],[DNA]]="Yes","Has Missed Appointment","Has Not Missed Appointment")</f>
        <v>Has Not Missed Appointment</v>
      </c>
    </row>
    <row r="8" spans="1:21" x14ac:dyDescent="0.25">
      <c r="A8" t="s">
        <v>5</v>
      </c>
      <c r="B8" t="s">
        <v>57</v>
      </c>
      <c r="C8" t="s">
        <v>104</v>
      </c>
      <c r="D8" s="1">
        <v>30814</v>
      </c>
      <c r="J8" t="s">
        <v>49</v>
      </c>
      <c r="K8" t="s">
        <v>50</v>
      </c>
      <c r="L8" t="s">
        <v>126</v>
      </c>
      <c r="M8">
        <v>1</v>
      </c>
      <c r="N8" t="s">
        <v>1</v>
      </c>
      <c r="O8" t="s">
        <v>40</v>
      </c>
      <c r="P8">
        <v>2025</v>
      </c>
      <c r="Q8">
        <v>6</v>
      </c>
      <c r="R8" t="s">
        <v>42</v>
      </c>
      <c r="S8" t="s">
        <v>1</v>
      </c>
      <c r="T8" t="str">
        <f>IF(Table469[[#This Row],[DNA]]="Yes","Has Missed Appointment","Has Not Missed Appointment")</f>
        <v>Has Not Missed Appointment</v>
      </c>
    </row>
    <row r="9" spans="1:21" x14ac:dyDescent="0.25">
      <c r="A9" t="s">
        <v>6</v>
      </c>
      <c r="B9" t="s">
        <v>79</v>
      </c>
      <c r="C9" t="s">
        <v>105</v>
      </c>
      <c r="D9" s="1">
        <v>25720</v>
      </c>
      <c r="J9" t="s">
        <v>51</v>
      </c>
      <c r="K9" t="s">
        <v>50</v>
      </c>
      <c r="L9" t="s">
        <v>126</v>
      </c>
      <c r="M9">
        <v>2</v>
      </c>
      <c r="N9" t="s">
        <v>1</v>
      </c>
      <c r="O9" t="s">
        <v>40</v>
      </c>
      <c r="P9">
        <v>2025</v>
      </c>
      <c r="Q9">
        <v>7</v>
      </c>
      <c r="R9" t="s">
        <v>43</v>
      </c>
      <c r="S9" t="s">
        <v>1</v>
      </c>
      <c r="T9" t="str">
        <f>IF(Table469[[#This Row],[DNA]]="Yes","Has Missed Appointment","Has Not Missed Appointment")</f>
        <v>Has Not Missed Appointment</v>
      </c>
    </row>
    <row r="10" spans="1:21" x14ac:dyDescent="0.25">
      <c r="A10" t="s">
        <v>7</v>
      </c>
      <c r="B10" t="s">
        <v>80</v>
      </c>
      <c r="C10" t="s">
        <v>58</v>
      </c>
      <c r="D10" s="1">
        <v>25720</v>
      </c>
      <c r="J10" t="s">
        <v>49</v>
      </c>
      <c r="K10" t="s">
        <v>50</v>
      </c>
      <c r="L10" t="s">
        <v>125</v>
      </c>
      <c r="M10">
        <v>3</v>
      </c>
      <c r="N10" t="s">
        <v>8</v>
      </c>
      <c r="O10" t="s">
        <v>40</v>
      </c>
      <c r="P10">
        <v>2025</v>
      </c>
      <c r="Q10">
        <v>8</v>
      </c>
      <c r="R10" t="s">
        <v>43</v>
      </c>
      <c r="S10" t="s">
        <v>8</v>
      </c>
      <c r="T10" t="str">
        <f>IF(Table469[[#This Row],[DNA]]="Yes","Has Missed Appointment","Has Not Missed Appointment")</f>
        <v>Has Missed Appointment</v>
      </c>
    </row>
    <row r="11" spans="1:21" x14ac:dyDescent="0.25">
      <c r="A11" t="s">
        <v>9</v>
      </c>
      <c r="B11" t="s">
        <v>81</v>
      </c>
      <c r="C11" t="s">
        <v>59</v>
      </c>
      <c r="D11" s="1">
        <v>25574</v>
      </c>
      <c r="J11" t="s">
        <v>51</v>
      </c>
      <c r="K11" t="s">
        <v>50</v>
      </c>
      <c r="L11" t="s">
        <v>126</v>
      </c>
      <c r="M11">
        <v>4</v>
      </c>
      <c r="N11" t="s">
        <v>1</v>
      </c>
      <c r="O11" t="s">
        <v>40</v>
      </c>
      <c r="P11">
        <v>2025</v>
      </c>
      <c r="Q11">
        <v>9</v>
      </c>
      <c r="R11" t="s">
        <v>43</v>
      </c>
      <c r="S11" t="s">
        <v>1</v>
      </c>
      <c r="T11" t="str">
        <f>IF(Table469[[#This Row],[DNA]]="Yes","Has Missed Appointment","Has Not Missed Appointment")</f>
        <v>Has Not Missed Appointment</v>
      </c>
    </row>
    <row r="12" spans="1:21" x14ac:dyDescent="0.25">
      <c r="A12" t="s">
        <v>10</v>
      </c>
      <c r="B12" t="s">
        <v>60</v>
      </c>
      <c r="C12" t="s">
        <v>106</v>
      </c>
      <c r="D12" s="1">
        <v>30814</v>
      </c>
      <c r="J12" t="s">
        <v>49</v>
      </c>
      <c r="K12" t="s">
        <v>124</v>
      </c>
      <c r="L12" t="s">
        <v>125</v>
      </c>
      <c r="M12">
        <v>5</v>
      </c>
      <c r="N12" t="s">
        <v>1</v>
      </c>
      <c r="O12" t="s">
        <v>40</v>
      </c>
      <c r="P12">
        <v>2025</v>
      </c>
      <c r="Q12">
        <v>10</v>
      </c>
      <c r="R12" t="s">
        <v>42</v>
      </c>
      <c r="S12" t="s">
        <v>1</v>
      </c>
      <c r="T12" t="str">
        <f>IF(Table469[[#This Row],[DNA]]="Yes","Has Missed Appointment","Has Not Missed Appointment")</f>
        <v>Has Not Missed Appointment</v>
      </c>
    </row>
    <row r="13" spans="1:21" x14ac:dyDescent="0.25">
      <c r="A13" t="s">
        <v>11</v>
      </c>
      <c r="B13" t="s">
        <v>61</v>
      </c>
      <c r="C13" t="s">
        <v>107</v>
      </c>
      <c r="D13" s="1">
        <v>33200</v>
      </c>
      <c r="J13" t="s">
        <v>51</v>
      </c>
      <c r="K13" t="s">
        <v>124</v>
      </c>
      <c r="L13" t="s">
        <v>125</v>
      </c>
      <c r="M13">
        <v>1</v>
      </c>
      <c r="N13" t="s">
        <v>1</v>
      </c>
      <c r="O13" t="s">
        <v>40</v>
      </c>
      <c r="P13">
        <v>2025</v>
      </c>
      <c r="Q13">
        <v>11</v>
      </c>
      <c r="R13" t="s">
        <v>43</v>
      </c>
      <c r="S13" t="s">
        <v>1</v>
      </c>
      <c r="T13" t="str">
        <f>IF(Table469[[#This Row],[DNA]]="Yes","Has Missed Appointment","Has Not Missed Appointment")</f>
        <v>Has Not Missed Appointment</v>
      </c>
    </row>
    <row r="14" spans="1:21" x14ac:dyDescent="0.25">
      <c r="A14" t="s">
        <v>12</v>
      </c>
      <c r="B14" t="s">
        <v>82</v>
      </c>
      <c r="C14" t="s">
        <v>62</v>
      </c>
      <c r="D14" s="1">
        <v>33200</v>
      </c>
      <c r="J14" t="s">
        <v>51</v>
      </c>
      <c r="K14" t="s">
        <v>50</v>
      </c>
      <c r="L14" t="s">
        <v>126</v>
      </c>
      <c r="M14">
        <v>2</v>
      </c>
      <c r="N14" t="s">
        <v>1</v>
      </c>
      <c r="O14" t="s">
        <v>40</v>
      </c>
      <c r="P14">
        <v>2025</v>
      </c>
      <c r="Q14">
        <v>12</v>
      </c>
      <c r="R14" t="s">
        <v>43</v>
      </c>
      <c r="S14" t="s">
        <v>1</v>
      </c>
      <c r="T14" t="str">
        <f>IF(Table469[[#This Row],[DNA]]="Yes","Has Missed Appointment","Has Not Missed Appointment")</f>
        <v>Has Not Missed Appointment</v>
      </c>
    </row>
    <row r="15" spans="1:21" x14ac:dyDescent="0.25">
      <c r="A15" t="s">
        <v>13</v>
      </c>
      <c r="B15" t="s">
        <v>83</v>
      </c>
      <c r="C15" t="s">
        <v>108</v>
      </c>
      <c r="D15" s="1">
        <v>30814</v>
      </c>
      <c r="J15" t="s">
        <v>49</v>
      </c>
      <c r="K15" t="s">
        <v>50</v>
      </c>
      <c r="L15" t="s">
        <v>126</v>
      </c>
      <c r="M15">
        <v>3</v>
      </c>
      <c r="N15" t="s">
        <v>1</v>
      </c>
      <c r="O15" t="s">
        <v>40</v>
      </c>
      <c r="P15">
        <v>2025</v>
      </c>
      <c r="Q15">
        <v>1</v>
      </c>
      <c r="R15" t="s">
        <v>43</v>
      </c>
      <c r="S15" t="s">
        <v>1</v>
      </c>
      <c r="T15" t="str">
        <f>IF(Table469[[#This Row],[DNA]]="Yes","Has Missed Appointment","Has Not Missed Appointment")</f>
        <v>Has Not Missed Appointment</v>
      </c>
    </row>
    <row r="16" spans="1:21" x14ac:dyDescent="0.25">
      <c r="A16" t="s">
        <v>14</v>
      </c>
      <c r="B16" t="s">
        <v>63</v>
      </c>
      <c r="C16" t="s">
        <v>109</v>
      </c>
      <c r="D16" s="1">
        <v>25720</v>
      </c>
      <c r="J16" t="s">
        <v>49</v>
      </c>
      <c r="K16" t="s">
        <v>50</v>
      </c>
      <c r="L16" t="s">
        <v>125</v>
      </c>
      <c r="M16">
        <v>4</v>
      </c>
      <c r="N16" t="s">
        <v>1</v>
      </c>
      <c r="O16" t="s">
        <v>40</v>
      </c>
      <c r="P16">
        <v>2025</v>
      </c>
      <c r="Q16">
        <v>2</v>
      </c>
      <c r="R16" t="s">
        <v>42</v>
      </c>
      <c r="S16" t="s">
        <v>8</v>
      </c>
      <c r="T16" t="str">
        <f>IF(Table469[[#This Row],[DNA]]="Yes","Has Missed Appointment","Has Not Missed Appointment")</f>
        <v>Has Not Missed Appointment</v>
      </c>
    </row>
    <row r="17" spans="1:20" x14ac:dyDescent="0.25">
      <c r="A17" t="s">
        <v>15</v>
      </c>
      <c r="B17" t="s">
        <v>84</v>
      </c>
      <c r="C17" t="s">
        <v>110</v>
      </c>
      <c r="D17" s="1">
        <v>25720</v>
      </c>
      <c r="J17" t="s">
        <v>51</v>
      </c>
      <c r="K17" t="s">
        <v>50</v>
      </c>
      <c r="L17" t="s">
        <v>125</v>
      </c>
      <c r="M17">
        <v>5</v>
      </c>
      <c r="N17" t="s">
        <v>8</v>
      </c>
      <c r="O17" t="s">
        <v>40</v>
      </c>
      <c r="P17">
        <v>2025</v>
      </c>
      <c r="Q17">
        <v>3</v>
      </c>
      <c r="R17" t="s">
        <v>43</v>
      </c>
      <c r="S17" t="s">
        <v>1</v>
      </c>
      <c r="T17" t="str">
        <f>IF(Table469[[#This Row],[DNA]]="Yes","Has Missed Appointment","Has Not Missed Appointment")</f>
        <v>Has Missed Appointment</v>
      </c>
    </row>
    <row r="18" spans="1:20" x14ac:dyDescent="0.25">
      <c r="A18" t="s">
        <v>16</v>
      </c>
      <c r="B18" t="s">
        <v>85</v>
      </c>
      <c r="C18" t="s">
        <v>64</v>
      </c>
      <c r="D18" s="1">
        <v>25720</v>
      </c>
      <c r="J18" t="s">
        <v>49</v>
      </c>
      <c r="K18" t="s">
        <v>124</v>
      </c>
      <c r="L18" t="s">
        <v>126</v>
      </c>
      <c r="M18">
        <v>1</v>
      </c>
      <c r="N18" t="s">
        <v>1</v>
      </c>
      <c r="O18" t="s">
        <v>40</v>
      </c>
      <c r="P18">
        <v>2025</v>
      </c>
      <c r="Q18">
        <v>4</v>
      </c>
      <c r="R18" t="s">
        <v>43</v>
      </c>
      <c r="S18" t="s">
        <v>1</v>
      </c>
      <c r="T18" t="str">
        <f>IF(Table469[[#This Row],[DNA]]="Yes","Has Missed Appointment","Has Not Missed Appointment")</f>
        <v>Has Not Missed Appointment</v>
      </c>
    </row>
    <row r="19" spans="1:20" x14ac:dyDescent="0.25">
      <c r="A19" t="s">
        <v>17</v>
      </c>
      <c r="B19" t="s">
        <v>86</v>
      </c>
      <c r="C19" t="s">
        <v>65</v>
      </c>
      <c r="D19" s="1">
        <v>25720</v>
      </c>
      <c r="J19" t="s">
        <v>49</v>
      </c>
      <c r="K19" t="s">
        <v>124</v>
      </c>
      <c r="L19" t="s">
        <v>126</v>
      </c>
      <c r="M19">
        <v>2</v>
      </c>
      <c r="N19" t="s">
        <v>1</v>
      </c>
      <c r="O19" t="s">
        <v>40</v>
      </c>
      <c r="P19">
        <v>2025</v>
      </c>
      <c r="Q19">
        <v>5</v>
      </c>
      <c r="R19" t="s">
        <v>43</v>
      </c>
      <c r="S19" t="s">
        <v>1</v>
      </c>
      <c r="T19" t="str">
        <f>IF(Table469[[#This Row],[DNA]]="Yes","Has Missed Appointment","Has Not Missed Appointment")</f>
        <v>Has Not Missed Appointment</v>
      </c>
    </row>
    <row r="20" spans="1:20" x14ac:dyDescent="0.25">
      <c r="A20" t="s">
        <v>18</v>
      </c>
      <c r="B20" t="s">
        <v>87</v>
      </c>
      <c r="C20" t="s">
        <v>111</v>
      </c>
      <c r="D20" s="1">
        <v>25720</v>
      </c>
      <c r="J20" t="s">
        <v>51</v>
      </c>
      <c r="K20" t="s">
        <v>50</v>
      </c>
      <c r="L20" t="s">
        <v>125</v>
      </c>
      <c r="M20">
        <v>3</v>
      </c>
      <c r="N20" t="s">
        <v>1</v>
      </c>
      <c r="O20" t="s">
        <v>40</v>
      </c>
      <c r="P20">
        <v>2025</v>
      </c>
      <c r="Q20">
        <v>6</v>
      </c>
      <c r="R20" t="s">
        <v>42</v>
      </c>
      <c r="S20" t="s">
        <v>1</v>
      </c>
      <c r="T20" t="str">
        <f>IF(Table469[[#This Row],[DNA]]="Yes","Has Missed Appointment","Has Not Missed Appointment")</f>
        <v>Has Not Missed Appointment</v>
      </c>
    </row>
    <row r="21" spans="1:20" x14ac:dyDescent="0.25">
      <c r="A21" t="s">
        <v>19</v>
      </c>
      <c r="B21" t="s">
        <v>88</v>
      </c>
      <c r="C21" t="s">
        <v>112</v>
      </c>
      <c r="D21" s="1">
        <v>33200</v>
      </c>
      <c r="J21" t="s">
        <v>49</v>
      </c>
      <c r="K21" t="s">
        <v>50</v>
      </c>
      <c r="L21" t="s">
        <v>125</v>
      </c>
      <c r="M21">
        <v>4</v>
      </c>
      <c r="N21" t="s">
        <v>1</v>
      </c>
      <c r="O21" t="s">
        <v>40</v>
      </c>
      <c r="P21">
        <v>2025</v>
      </c>
      <c r="Q21">
        <v>7</v>
      </c>
      <c r="R21" t="s">
        <v>43</v>
      </c>
      <c r="S21" t="s">
        <v>1</v>
      </c>
      <c r="T21" t="str">
        <f>IF(Table469[[#This Row],[DNA]]="Yes","Has Missed Appointment","Has Not Missed Appointment")</f>
        <v>Has Not Missed Appointment</v>
      </c>
    </row>
    <row r="22" spans="1:20" x14ac:dyDescent="0.25">
      <c r="A22" t="s">
        <v>20</v>
      </c>
      <c r="B22" t="s">
        <v>89</v>
      </c>
      <c r="C22" t="s">
        <v>66</v>
      </c>
      <c r="D22" s="1">
        <v>25720</v>
      </c>
      <c r="J22" t="s">
        <v>49</v>
      </c>
      <c r="K22" t="s">
        <v>50</v>
      </c>
      <c r="L22" t="s">
        <v>126</v>
      </c>
      <c r="M22">
        <v>5</v>
      </c>
      <c r="N22" t="s">
        <v>1</v>
      </c>
      <c r="O22" t="s">
        <v>40</v>
      </c>
      <c r="P22">
        <v>2025</v>
      </c>
      <c r="Q22">
        <v>8</v>
      </c>
      <c r="R22" t="s">
        <v>43</v>
      </c>
      <c r="S22" t="s">
        <v>8</v>
      </c>
      <c r="T22" t="str">
        <f>IF(Table469[[#This Row],[DNA]]="Yes","Has Missed Appointment","Has Not Missed Appointment")</f>
        <v>Has Not Missed Appointment</v>
      </c>
    </row>
    <row r="23" spans="1:20" x14ac:dyDescent="0.25">
      <c r="A23" t="s">
        <v>21</v>
      </c>
      <c r="B23" t="s">
        <v>90</v>
      </c>
      <c r="C23" t="s">
        <v>67</v>
      </c>
      <c r="D23" s="1">
        <v>33200</v>
      </c>
      <c r="J23" t="s">
        <v>49</v>
      </c>
      <c r="K23" t="s">
        <v>50</v>
      </c>
      <c r="L23" t="s">
        <v>125</v>
      </c>
      <c r="M23">
        <v>1</v>
      </c>
      <c r="N23" t="s">
        <v>1</v>
      </c>
      <c r="O23" t="s">
        <v>40</v>
      </c>
      <c r="P23">
        <v>2025</v>
      </c>
      <c r="Q23">
        <v>9</v>
      </c>
      <c r="R23" t="s">
        <v>43</v>
      </c>
      <c r="S23" t="s">
        <v>1</v>
      </c>
      <c r="T23" t="str">
        <f>IF(Table469[[#This Row],[DNA]]="Yes","Has Missed Appointment","Has Not Missed Appointment")</f>
        <v>Has Not Missed Appointment</v>
      </c>
    </row>
    <row r="24" spans="1:20" x14ac:dyDescent="0.25">
      <c r="A24" t="s">
        <v>22</v>
      </c>
      <c r="B24" t="s">
        <v>91</v>
      </c>
      <c r="C24" t="s">
        <v>113</v>
      </c>
      <c r="D24" s="1">
        <v>30814</v>
      </c>
      <c r="J24" t="s">
        <v>51</v>
      </c>
      <c r="K24" t="s">
        <v>50</v>
      </c>
      <c r="L24" t="s">
        <v>126</v>
      </c>
      <c r="M24">
        <v>2</v>
      </c>
      <c r="N24" t="s">
        <v>8</v>
      </c>
      <c r="O24" t="s">
        <v>40</v>
      </c>
      <c r="P24">
        <v>2025</v>
      </c>
      <c r="Q24">
        <v>10</v>
      </c>
      <c r="R24" t="s">
        <v>42</v>
      </c>
      <c r="S24" t="s">
        <v>1</v>
      </c>
      <c r="T24" t="str">
        <f>IF(Table469[[#This Row],[DNA]]="Yes","Has Missed Appointment","Has Not Missed Appointment")</f>
        <v>Has Missed Appointment</v>
      </c>
    </row>
    <row r="25" spans="1:20" x14ac:dyDescent="0.25">
      <c r="A25" t="s">
        <v>23</v>
      </c>
      <c r="B25" t="s">
        <v>92</v>
      </c>
      <c r="C25" t="s">
        <v>114</v>
      </c>
      <c r="D25" s="1">
        <v>30814</v>
      </c>
      <c r="J25" t="s">
        <v>49</v>
      </c>
      <c r="K25" t="s">
        <v>50</v>
      </c>
      <c r="L25" t="s">
        <v>125</v>
      </c>
      <c r="M25">
        <v>3</v>
      </c>
      <c r="N25" t="s">
        <v>1</v>
      </c>
      <c r="O25" t="s">
        <v>40</v>
      </c>
      <c r="P25">
        <v>2025</v>
      </c>
      <c r="Q25">
        <v>11</v>
      </c>
      <c r="R25" t="s">
        <v>43</v>
      </c>
      <c r="S25" t="s">
        <v>1</v>
      </c>
      <c r="T25" t="str">
        <f>IF(Table469[[#This Row],[DNA]]="Yes","Has Missed Appointment","Has Not Missed Appointment")</f>
        <v>Has Not Missed Appointment</v>
      </c>
    </row>
    <row r="26" spans="1:20" x14ac:dyDescent="0.25">
      <c r="A26" t="s">
        <v>24</v>
      </c>
      <c r="B26" t="s">
        <v>68</v>
      </c>
      <c r="C26" t="s">
        <v>115</v>
      </c>
      <c r="D26" s="1">
        <v>25720</v>
      </c>
      <c r="J26" t="s">
        <v>49</v>
      </c>
      <c r="K26" t="s">
        <v>124</v>
      </c>
      <c r="L26" t="s">
        <v>126</v>
      </c>
      <c r="M26">
        <v>4</v>
      </c>
      <c r="N26" t="s">
        <v>1</v>
      </c>
      <c r="O26" t="s">
        <v>40</v>
      </c>
      <c r="P26">
        <v>2025</v>
      </c>
      <c r="Q26">
        <v>12</v>
      </c>
      <c r="R26" t="s">
        <v>43</v>
      </c>
      <c r="S26" t="s">
        <v>1</v>
      </c>
      <c r="T26" t="str">
        <f>IF(Table469[[#This Row],[DNA]]="Yes","Has Missed Appointment","Has Not Missed Appointment")</f>
        <v>Has Not Missed Appointment</v>
      </c>
    </row>
    <row r="27" spans="1:20" x14ac:dyDescent="0.25">
      <c r="A27" t="s">
        <v>25</v>
      </c>
      <c r="B27" t="s">
        <v>69</v>
      </c>
      <c r="C27" t="s">
        <v>116</v>
      </c>
      <c r="D27" s="1">
        <v>30814</v>
      </c>
      <c r="J27" t="s">
        <v>51</v>
      </c>
      <c r="K27" t="s">
        <v>124</v>
      </c>
      <c r="L27" t="s">
        <v>126</v>
      </c>
      <c r="M27">
        <v>5</v>
      </c>
      <c r="N27" t="s">
        <v>1</v>
      </c>
      <c r="O27" t="s">
        <v>40</v>
      </c>
      <c r="P27">
        <v>2025</v>
      </c>
      <c r="Q27">
        <v>1</v>
      </c>
      <c r="R27" t="s">
        <v>43</v>
      </c>
      <c r="S27" t="s">
        <v>1</v>
      </c>
      <c r="T27" t="str">
        <f>IF(Table469[[#This Row],[DNA]]="Yes","Has Missed Appointment","Has Not Missed Appointment")</f>
        <v>Has Not Missed Appointment</v>
      </c>
    </row>
    <row r="28" spans="1:20" x14ac:dyDescent="0.25">
      <c r="A28" t="s">
        <v>26</v>
      </c>
      <c r="B28" t="s">
        <v>93</v>
      </c>
      <c r="C28" t="s">
        <v>117</v>
      </c>
      <c r="D28" s="1">
        <v>33200</v>
      </c>
      <c r="J28" t="s">
        <v>49</v>
      </c>
      <c r="K28" t="s">
        <v>50</v>
      </c>
      <c r="L28" t="s">
        <v>126</v>
      </c>
      <c r="M28">
        <v>1</v>
      </c>
      <c r="N28" t="s">
        <v>1</v>
      </c>
      <c r="O28" t="s">
        <v>40</v>
      </c>
      <c r="P28">
        <v>2025</v>
      </c>
      <c r="Q28">
        <v>2</v>
      </c>
      <c r="R28" t="s">
        <v>42</v>
      </c>
      <c r="S28" t="s">
        <v>8</v>
      </c>
      <c r="T28" t="str">
        <f>IF(Table469[[#This Row],[DNA]]="Yes","Has Missed Appointment","Has Not Missed Appointment")</f>
        <v>Has Not Missed Appointment</v>
      </c>
    </row>
    <row r="29" spans="1:20" x14ac:dyDescent="0.25">
      <c r="A29" t="s">
        <v>27</v>
      </c>
      <c r="B29" t="s">
        <v>94</v>
      </c>
      <c r="C29" t="s">
        <v>118</v>
      </c>
      <c r="D29" s="1">
        <v>30814</v>
      </c>
      <c r="J29" t="s">
        <v>51</v>
      </c>
      <c r="K29" t="s">
        <v>50</v>
      </c>
      <c r="L29" t="s">
        <v>126</v>
      </c>
      <c r="M29">
        <v>2</v>
      </c>
      <c r="N29" t="s">
        <v>1</v>
      </c>
      <c r="O29" t="s">
        <v>40</v>
      </c>
      <c r="P29">
        <v>2025</v>
      </c>
      <c r="Q29">
        <v>3</v>
      </c>
      <c r="R29" t="s">
        <v>43</v>
      </c>
      <c r="S29" t="s">
        <v>1</v>
      </c>
      <c r="T29" t="str">
        <f>IF(Table469[[#This Row],[DNA]]="Yes","Has Missed Appointment","Has Not Missed Appointment")</f>
        <v>Has Not Missed Appointment</v>
      </c>
    </row>
    <row r="30" spans="1:20" x14ac:dyDescent="0.25">
      <c r="A30" t="s">
        <v>28</v>
      </c>
      <c r="B30" t="s">
        <v>70</v>
      </c>
      <c r="C30" t="s">
        <v>119</v>
      </c>
      <c r="D30" s="1">
        <v>25574</v>
      </c>
      <c r="J30" t="s">
        <v>51</v>
      </c>
      <c r="K30" t="s">
        <v>50</v>
      </c>
      <c r="L30" t="s">
        <v>125</v>
      </c>
      <c r="M30">
        <v>3</v>
      </c>
      <c r="N30" t="s">
        <v>1</v>
      </c>
      <c r="O30" t="s">
        <v>40</v>
      </c>
      <c r="P30">
        <v>2025</v>
      </c>
      <c r="Q30">
        <v>4</v>
      </c>
      <c r="R30" t="s">
        <v>43</v>
      </c>
      <c r="S30" t="s">
        <v>1</v>
      </c>
      <c r="T30" t="str">
        <f>IF(Table469[[#This Row],[DNA]]="Yes","Has Missed Appointment","Has Not Missed Appointment")</f>
        <v>Has Not Missed Appointment</v>
      </c>
    </row>
    <row r="31" spans="1:20" x14ac:dyDescent="0.25">
      <c r="A31" t="s">
        <v>29</v>
      </c>
      <c r="B31" t="s">
        <v>71</v>
      </c>
      <c r="C31" t="s">
        <v>120</v>
      </c>
      <c r="D31" s="1">
        <v>30814</v>
      </c>
      <c r="J31" t="s">
        <v>49</v>
      </c>
      <c r="K31" t="s">
        <v>50</v>
      </c>
      <c r="L31" t="s">
        <v>125</v>
      </c>
      <c r="M31">
        <v>4</v>
      </c>
      <c r="N31" t="s">
        <v>8</v>
      </c>
      <c r="O31" t="s">
        <v>40</v>
      </c>
      <c r="P31">
        <v>2025</v>
      </c>
      <c r="Q31">
        <v>5</v>
      </c>
      <c r="R31" t="s">
        <v>43</v>
      </c>
      <c r="S31" t="s">
        <v>1</v>
      </c>
      <c r="T31" t="str">
        <f>IF(Table469[[#This Row],[DNA]]="Yes","Has Missed Appointment","Has Not Missed Appointment")</f>
        <v>Has Missed Appointment</v>
      </c>
    </row>
    <row r="32" spans="1:20" x14ac:dyDescent="0.25">
      <c r="A32" t="s">
        <v>30</v>
      </c>
      <c r="B32" t="s">
        <v>95</v>
      </c>
      <c r="C32" t="s">
        <v>121</v>
      </c>
      <c r="D32" s="1">
        <v>30814</v>
      </c>
      <c r="J32" t="s">
        <v>49</v>
      </c>
      <c r="K32" t="s">
        <v>124</v>
      </c>
      <c r="L32" t="s">
        <v>126</v>
      </c>
      <c r="M32">
        <v>5</v>
      </c>
      <c r="N32" t="s">
        <v>1</v>
      </c>
      <c r="O32" t="s">
        <v>40</v>
      </c>
      <c r="P32">
        <v>2025</v>
      </c>
      <c r="Q32">
        <v>6</v>
      </c>
      <c r="R32" t="s">
        <v>42</v>
      </c>
      <c r="S32" t="s">
        <v>1</v>
      </c>
      <c r="T32" t="str">
        <f>IF(Table469[[#This Row],[DNA]]="Yes","Has Missed Appointment","Has Not Missed Appointment")</f>
        <v>Has Not Missed Appointment</v>
      </c>
    </row>
    <row r="33" spans="1:20" x14ac:dyDescent="0.25">
      <c r="A33" t="s">
        <v>31</v>
      </c>
      <c r="B33" t="s">
        <v>96</v>
      </c>
      <c r="C33" t="s">
        <v>72</v>
      </c>
      <c r="D33" s="1">
        <v>30814</v>
      </c>
      <c r="J33" t="s">
        <v>51</v>
      </c>
      <c r="K33" t="s">
        <v>124</v>
      </c>
      <c r="L33" t="s">
        <v>125</v>
      </c>
      <c r="M33">
        <v>1</v>
      </c>
      <c r="N33" t="s">
        <v>1</v>
      </c>
      <c r="O33" t="s">
        <v>40</v>
      </c>
      <c r="P33">
        <v>2025</v>
      </c>
      <c r="Q33">
        <v>7</v>
      </c>
      <c r="R33" t="s">
        <v>43</v>
      </c>
      <c r="S33" t="s">
        <v>1</v>
      </c>
      <c r="T33" t="str">
        <f>IF(Table469[[#This Row],[DNA]]="Yes","Has Missed Appointment","Has Not Missed Appointment")</f>
        <v>Has Not Missed Appointment</v>
      </c>
    </row>
    <row r="34" spans="1:20" x14ac:dyDescent="0.25">
      <c r="A34" t="s">
        <v>32</v>
      </c>
      <c r="B34" t="s">
        <v>73</v>
      </c>
      <c r="C34" t="s">
        <v>122</v>
      </c>
      <c r="D34" s="1">
        <v>33200</v>
      </c>
      <c r="J34" t="s">
        <v>49</v>
      </c>
      <c r="K34" t="s">
        <v>50</v>
      </c>
      <c r="L34" t="s">
        <v>125</v>
      </c>
      <c r="M34">
        <v>2</v>
      </c>
      <c r="N34" t="s">
        <v>1</v>
      </c>
      <c r="O34" t="s">
        <v>40</v>
      </c>
      <c r="P34">
        <v>2025</v>
      </c>
      <c r="Q34">
        <v>8</v>
      </c>
      <c r="R34" t="s">
        <v>43</v>
      </c>
      <c r="S34" t="s">
        <v>8</v>
      </c>
      <c r="T34" t="str">
        <f>IF(Table469[[#This Row],[DNA]]="Yes","Has Missed Appointment","Has Not Missed Appointment")</f>
        <v>Has Not Missed Appointment</v>
      </c>
    </row>
    <row r="35" spans="1:20" x14ac:dyDescent="0.25">
      <c r="A35" t="s">
        <v>33</v>
      </c>
      <c r="B35" t="s">
        <v>97</v>
      </c>
      <c r="C35" t="s">
        <v>74</v>
      </c>
      <c r="D35" s="1">
        <v>25720</v>
      </c>
      <c r="J35" t="s">
        <v>51</v>
      </c>
      <c r="K35" t="s">
        <v>124</v>
      </c>
      <c r="L35" t="s">
        <v>126</v>
      </c>
      <c r="M35">
        <v>3</v>
      </c>
      <c r="N35" t="s">
        <v>1</v>
      </c>
      <c r="O35" t="s">
        <v>40</v>
      </c>
      <c r="P35">
        <v>2025</v>
      </c>
      <c r="Q35">
        <v>9</v>
      </c>
      <c r="R35" t="s">
        <v>43</v>
      </c>
      <c r="S35" t="s">
        <v>1</v>
      </c>
      <c r="T35" t="str">
        <f>IF(Table469[[#This Row],[DNA]]="Yes","Has Missed Appointment","Has Not Missed Appointment")</f>
        <v>Has Not Missed Appointment</v>
      </c>
    </row>
    <row r="36" spans="1:20" x14ac:dyDescent="0.25">
      <c r="A36" t="s">
        <v>34</v>
      </c>
      <c r="B36" t="s">
        <v>75</v>
      </c>
      <c r="C36" t="s">
        <v>123</v>
      </c>
      <c r="D36" s="1">
        <v>30814</v>
      </c>
      <c r="J36" t="s">
        <v>51</v>
      </c>
      <c r="K36" t="s">
        <v>124</v>
      </c>
      <c r="L36" t="s">
        <v>125</v>
      </c>
      <c r="M36">
        <v>4</v>
      </c>
      <c r="N36" t="s">
        <v>1</v>
      </c>
      <c r="O36" t="s">
        <v>40</v>
      </c>
      <c r="P36">
        <v>2025</v>
      </c>
      <c r="Q36">
        <v>10</v>
      </c>
      <c r="R36" t="s">
        <v>42</v>
      </c>
      <c r="S36" t="s">
        <v>1</v>
      </c>
      <c r="T36" t="str">
        <f>IF(Table469[[#This Row],[DNA]]="Yes","Has Missed Appointment","Has Not Missed Appointment")</f>
        <v>Has Not Missed Appointment</v>
      </c>
    </row>
    <row r="37" spans="1:20" x14ac:dyDescent="0.25">
      <c r="A37" t="s">
        <v>35</v>
      </c>
      <c r="B37" t="s">
        <v>98</v>
      </c>
      <c r="C37" t="s">
        <v>76</v>
      </c>
      <c r="D37" s="1">
        <v>30814</v>
      </c>
      <c r="J37" t="s">
        <v>51</v>
      </c>
      <c r="K37" t="s">
        <v>124</v>
      </c>
      <c r="L37" t="s">
        <v>126</v>
      </c>
      <c r="M37">
        <v>5</v>
      </c>
      <c r="N37" t="s">
        <v>1</v>
      </c>
      <c r="O37" t="s">
        <v>40</v>
      </c>
      <c r="P37">
        <v>2025</v>
      </c>
      <c r="Q37">
        <v>11</v>
      </c>
      <c r="R37" t="s">
        <v>43</v>
      </c>
      <c r="S37" t="s">
        <v>1</v>
      </c>
      <c r="T37" t="str">
        <f>IF(Table469[[#This Row],[DNA]]="Yes","Has Missed Appointment","Has Not Missed Appointment")</f>
        <v>Has Not Missed Appointment</v>
      </c>
    </row>
    <row r="38" spans="1:20" x14ac:dyDescent="0.25">
      <c r="A38" t="s">
        <v>36</v>
      </c>
      <c r="B38" t="s">
        <v>99</v>
      </c>
      <c r="C38" t="s">
        <v>77</v>
      </c>
      <c r="D38" s="1">
        <v>25720</v>
      </c>
      <c r="J38" t="s">
        <v>49</v>
      </c>
      <c r="K38" t="s">
        <v>124</v>
      </c>
      <c r="L38" t="s">
        <v>125</v>
      </c>
      <c r="M38">
        <v>1</v>
      </c>
      <c r="N38" t="s">
        <v>8</v>
      </c>
      <c r="O38" t="s">
        <v>40</v>
      </c>
      <c r="P38">
        <v>2025</v>
      </c>
      <c r="Q38">
        <v>12</v>
      </c>
      <c r="R38" t="s">
        <v>43</v>
      </c>
      <c r="S38" t="s">
        <v>1</v>
      </c>
      <c r="T38" t="str">
        <f>IF(Table469[[#This Row],[DNA]]="Yes","Has Missed Appointment","Has Not Missed Appointment")</f>
        <v>Has Missed Appointment</v>
      </c>
    </row>
    <row r="41" spans="1:20" x14ac:dyDescent="0.25">
      <c r="E41" s="2"/>
    </row>
    <row r="42" spans="1:20" x14ac:dyDescent="0.25">
      <c r="E42" s="2"/>
    </row>
    <row r="43" spans="1:20" x14ac:dyDescent="0.25">
      <c r="D43"/>
      <c r="E43" s="2"/>
    </row>
    <row r="44" spans="1:20" x14ac:dyDescent="0.25">
      <c r="D44"/>
      <c r="E44" s="2"/>
    </row>
    <row r="45" spans="1:20" x14ac:dyDescent="0.25">
      <c r="E45" s="2"/>
    </row>
  </sheetData>
  <mergeCells count="1">
    <mergeCell ref="A1:S1"/>
  </mergeCells>
  <conditionalFormatting sqref="T4:T38">
    <cfRule type="containsText" dxfId="0" priority="1" operator="containsText" text="Not">
      <formula>NOT(ISERROR(SEARCH("Not",T4)))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7823-7409-46EE-A6A7-19D5173EA8D7}">
  <dimension ref="A1:N36"/>
  <sheetViews>
    <sheetView workbookViewId="0">
      <selection activeCell="O14" sqref="O14"/>
    </sheetView>
  </sheetViews>
  <sheetFormatPr defaultRowHeight="15" x14ac:dyDescent="0.25"/>
  <cols>
    <col min="1" max="1" width="12.85546875" customWidth="1"/>
    <col min="4" max="4" width="14.42578125" customWidth="1"/>
    <col min="5" max="5" width="9.85546875" customWidth="1"/>
    <col min="7" max="7" width="16.140625" customWidth="1"/>
    <col min="8" max="8" width="20.85546875" customWidth="1"/>
    <col min="10" max="10" width="14" customWidth="1"/>
    <col min="13" max="13" width="11.42578125" customWidth="1"/>
    <col min="14" max="14" width="20.5703125" customWidth="1"/>
  </cols>
  <sheetData>
    <row r="1" spans="1:14" x14ac:dyDescent="0.25">
      <c r="A1" t="s">
        <v>44</v>
      </c>
      <c r="B1" t="s">
        <v>52</v>
      </c>
      <c r="C1" t="s">
        <v>53</v>
      </c>
      <c r="D1" t="s">
        <v>45</v>
      </c>
      <c r="E1" t="s">
        <v>46</v>
      </c>
      <c r="F1" t="s">
        <v>47</v>
      </c>
      <c r="G1" t="s">
        <v>48</v>
      </c>
      <c r="H1" t="s">
        <v>127</v>
      </c>
      <c r="I1" t="s">
        <v>128</v>
      </c>
      <c r="J1" t="s">
        <v>37</v>
      </c>
      <c r="K1" t="s">
        <v>38</v>
      </c>
      <c r="L1" t="s">
        <v>39</v>
      </c>
      <c r="M1" t="s">
        <v>41</v>
      </c>
      <c r="N1" t="s">
        <v>129</v>
      </c>
    </row>
    <row r="2" spans="1:14" x14ac:dyDescent="0.25">
      <c r="A2" t="s">
        <v>0</v>
      </c>
      <c r="B2" t="s">
        <v>78</v>
      </c>
      <c r="C2" t="s">
        <v>100</v>
      </c>
      <c r="D2">
        <v>30814</v>
      </c>
      <c r="E2" t="s">
        <v>49</v>
      </c>
      <c r="F2" t="s">
        <v>50</v>
      </c>
      <c r="G2" t="s">
        <v>126</v>
      </c>
      <c r="H2">
        <v>2</v>
      </c>
      <c r="I2" t="s">
        <v>1</v>
      </c>
      <c r="J2" t="s">
        <v>40</v>
      </c>
      <c r="K2">
        <v>2025</v>
      </c>
      <c r="L2">
        <v>2</v>
      </c>
      <c r="M2" t="s">
        <v>42</v>
      </c>
      <c r="N2" t="s">
        <v>8</v>
      </c>
    </row>
    <row r="3" spans="1:14" x14ac:dyDescent="0.25">
      <c r="A3" t="s">
        <v>2</v>
      </c>
      <c r="B3" t="s">
        <v>54</v>
      </c>
      <c r="C3" t="s">
        <v>101</v>
      </c>
      <c r="D3">
        <v>25720</v>
      </c>
      <c r="E3" t="s">
        <v>49</v>
      </c>
      <c r="F3" t="s">
        <v>124</v>
      </c>
      <c r="G3" t="s">
        <v>126</v>
      </c>
      <c r="H3">
        <v>3</v>
      </c>
      <c r="I3" t="s">
        <v>1</v>
      </c>
      <c r="J3" t="s">
        <v>40</v>
      </c>
      <c r="K3">
        <v>2025</v>
      </c>
      <c r="L3">
        <v>3</v>
      </c>
      <c r="M3" t="s">
        <v>43</v>
      </c>
      <c r="N3" t="s">
        <v>1</v>
      </c>
    </row>
    <row r="4" spans="1:14" x14ac:dyDescent="0.25">
      <c r="A4" t="s">
        <v>3</v>
      </c>
      <c r="B4" t="s">
        <v>55</v>
      </c>
      <c r="C4" t="s">
        <v>102</v>
      </c>
      <c r="D4">
        <v>25720</v>
      </c>
      <c r="E4" t="s">
        <v>51</v>
      </c>
      <c r="F4" t="s">
        <v>124</v>
      </c>
      <c r="G4" t="s">
        <v>126</v>
      </c>
      <c r="H4">
        <v>4</v>
      </c>
      <c r="I4" t="s">
        <v>1</v>
      </c>
      <c r="J4" t="s">
        <v>40</v>
      </c>
      <c r="K4">
        <v>2025</v>
      </c>
      <c r="L4">
        <v>4</v>
      </c>
      <c r="M4" t="s">
        <v>43</v>
      </c>
      <c r="N4" t="s">
        <v>1</v>
      </c>
    </row>
    <row r="5" spans="1:14" x14ac:dyDescent="0.25">
      <c r="A5" t="s">
        <v>4</v>
      </c>
      <c r="B5" t="s">
        <v>56</v>
      </c>
      <c r="C5" t="s">
        <v>103</v>
      </c>
      <c r="D5">
        <v>25720</v>
      </c>
      <c r="E5" t="s">
        <v>51</v>
      </c>
      <c r="F5" t="s">
        <v>50</v>
      </c>
      <c r="G5" t="s">
        <v>126</v>
      </c>
      <c r="H5">
        <v>5</v>
      </c>
      <c r="I5" t="s">
        <v>1</v>
      </c>
      <c r="J5" t="s">
        <v>40</v>
      </c>
      <c r="K5">
        <v>2025</v>
      </c>
      <c r="L5">
        <v>5</v>
      </c>
      <c r="M5" t="s">
        <v>43</v>
      </c>
      <c r="N5" t="s">
        <v>1</v>
      </c>
    </row>
    <row r="6" spans="1:14" x14ac:dyDescent="0.25">
      <c r="A6" t="s">
        <v>5</v>
      </c>
      <c r="B6" t="s">
        <v>57</v>
      </c>
      <c r="C6" t="s">
        <v>104</v>
      </c>
      <c r="D6">
        <v>30814</v>
      </c>
      <c r="E6" t="s">
        <v>49</v>
      </c>
      <c r="F6" t="s">
        <v>50</v>
      </c>
      <c r="G6" t="s">
        <v>126</v>
      </c>
      <c r="H6">
        <v>1</v>
      </c>
      <c r="I6" t="s">
        <v>1</v>
      </c>
      <c r="J6" t="s">
        <v>40</v>
      </c>
      <c r="K6">
        <v>2025</v>
      </c>
      <c r="L6">
        <v>6</v>
      </c>
      <c r="M6" t="s">
        <v>42</v>
      </c>
      <c r="N6" t="s">
        <v>1</v>
      </c>
    </row>
    <row r="7" spans="1:14" x14ac:dyDescent="0.25">
      <c r="A7" t="s">
        <v>6</v>
      </c>
      <c r="B7" t="s">
        <v>79</v>
      </c>
      <c r="C7" t="s">
        <v>105</v>
      </c>
      <c r="D7">
        <v>25720</v>
      </c>
      <c r="E7" t="s">
        <v>51</v>
      </c>
      <c r="F7" t="s">
        <v>50</v>
      </c>
      <c r="G7" t="s">
        <v>126</v>
      </c>
      <c r="H7">
        <v>2</v>
      </c>
      <c r="I7" t="s">
        <v>1</v>
      </c>
      <c r="J7" t="s">
        <v>40</v>
      </c>
      <c r="K7">
        <v>2025</v>
      </c>
      <c r="L7">
        <v>7</v>
      </c>
      <c r="M7" t="s">
        <v>43</v>
      </c>
      <c r="N7" t="s">
        <v>1</v>
      </c>
    </row>
    <row r="8" spans="1:14" x14ac:dyDescent="0.25">
      <c r="A8" t="s">
        <v>7</v>
      </c>
      <c r="B8" t="s">
        <v>80</v>
      </c>
      <c r="C8" t="s">
        <v>58</v>
      </c>
      <c r="D8">
        <v>25720</v>
      </c>
      <c r="E8" t="s">
        <v>49</v>
      </c>
      <c r="F8" t="s">
        <v>50</v>
      </c>
      <c r="G8" t="s">
        <v>125</v>
      </c>
      <c r="H8">
        <v>3</v>
      </c>
      <c r="I8" t="s">
        <v>8</v>
      </c>
      <c r="J8" t="s">
        <v>40</v>
      </c>
      <c r="K8">
        <v>2025</v>
      </c>
      <c r="L8">
        <v>8</v>
      </c>
      <c r="M8" t="s">
        <v>43</v>
      </c>
      <c r="N8" t="s">
        <v>8</v>
      </c>
    </row>
    <row r="9" spans="1:14" x14ac:dyDescent="0.25">
      <c r="A9" t="s">
        <v>9</v>
      </c>
      <c r="B9" t="s">
        <v>81</v>
      </c>
      <c r="C9" t="s">
        <v>59</v>
      </c>
      <c r="D9">
        <v>25574</v>
      </c>
      <c r="E9" t="s">
        <v>51</v>
      </c>
      <c r="F9" t="s">
        <v>50</v>
      </c>
      <c r="G9" t="s">
        <v>126</v>
      </c>
      <c r="H9">
        <v>4</v>
      </c>
      <c r="I9" t="s">
        <v>1</v>
      </c>
      <c r="J9" t="s">
        <v>40</v>
      </c>
      <c r="K9">
        <v>2025</v>
      </c>
      <c r="L9">
        <v>9</v>
      </c>
      <c r="M9" t="s">
        <v>43</v>
      </c>
      <c r="N9" t="s">
        <v>1</v>
      </c>
    </row>
    <row r="10" spans="1:14" x14ac:dyDescent="0.25">
      <c r="A10" t="s">
        <v>10</v>
      </c>
      <c r="B10" t="s">
        <v>60</v>
      </c>
      <c r="C10" t="s">
        <v>106</v>
      </c>
      <c r="D10">
        <v>30814</v>
      </c>
      <c r="E10" t="s">
        <v>49</v>
      </c>
      <c r="F10" t="s">
        <v>124</v>
      </c>
      <c r="G10" t="s">
        <v>125</v>
      </c>
      <c r="H10">
        <v>5</v>
      </c>
      <c r="I10" t="s">
        <v>1</v>
      </c>
      <c r="J10" t="s">
        <v>40</v>
      </c>
      <c r="K10">
        <v>2025</v>
      </c>
      <c r="L10">
        <v>10</v>
      </c>
      <c r="M10" t="s">
        <v>42</v>
      </c>
      <c r="N10" t="s">
        <v>1</v>
      </c>
    </row>
    <row r="11" spans="1:14" x14ac:dyDescent="0.25">
      <c r="A11" t="s">
        <v>11</v>
      </c>
      <c r="B11" t="s">
        <v>61</v>
      </c>
      <c r="C11" t="s">
        <v>107</v>
      </c>
      <c r="D11">
        <v>33200</v>
      </c>
      <c r="E11" t="s">
        <v>51</v>
      </c>
      <c r="F11" t="s">
        <v>124</v>
      </c>
      <c r="G11" t="s">
        <v>125</v>
      </c>
      <c r="H11">
        <v>1</v>
      </c>
      <c r="I11" t="s">
        <v>1</v>
      </c>
      <c r="J11" t="s">
        <v>40</v>
      </c>
      <c r="K11">
        <v>2025</v>
      </c>
      <c r="L11">
        <v>11</v>
      </c>
      <c r="M11" t="s">
        <v>43</v>
      </c>
      <c r="N11" t="s">
        <v>1</v>
      </c>
    </row>
    <row r="12" spans="1:14" x14ac:dyDescent="0.25">
      <c r="A12" t="s">
        <v>12</v>
      </c>
      <c r="B12" t="s">
        <v>82</v>
      </c>
      <c r="C12" t="s">
        <v>62</v>
      </c>
      <c r="D12">
        <v>33200</v>
      </c>
      <c r="E12" t="s">
        <v>51</v>
      </c>
      <c r="F12" t="s">
        <v>50</v>
      </c>
      <c r="G12" t="s">
        <v>126</v>
      </c>
      <c r="H12">
        <v>2</v>
      </c>
      <c r="I12" t="s">
        <v>1</v>
      </c>
      <c r="J12" t="s">
        <v>40</v>
      </c>
      <c r="K12">
        <v>2025</v>
      </c>
      <c r="L12">
        <v>12</v>
      </c>
      <c r="M12" t="s">
        <v>43</v>
      </c>
      <c r="N12" t="s">
        <v>1</v>
      </c>
    </row>
    <row r="13" spans="1:14" x14ac:dyDescent="0.25">
      <c r="A13" t="s">
        <v>13</v>
      </c>
      <c r="B13" t="s">
        <v>83</v>
      </c>
      <c r="C13" t="s">
        <v>108</v>
      </c>
      <c r="D13">
        <v>30814</v>
      </c>
      <c r="E13" t="s">
        <v>49</v>
      </c>
      <c r="F13" t="s">
        <v>50</v>
      </c>
      <c r="G13" t="s">
        <v>126</v>
      </c>
      <c r="H13">
        <v>3</v>
      </c>
      <c r="I13" t="s">
        <v>1</v>
      </c>
      <c r="J13" t="s">
        <v>40</v>
      </c>
      <c r="K13">
        <v>2025</v>
      </c>
      <c r="L13">
        <v>1</v>
      </c>
      <c r="M13" t="s">
        <v>43</v>
      </c>
      <c r="N13" t="s">
        <v>1</v>
      </c>
    </row>
    <row r="14" spans="1:14" x14ac:dyDescent="0.25">
      <c r="A14" t="s">
        <v>14</v>
      </c>
      <c r="B14" t="s">
        <v>63</v>
      </c>
      <c r="C14" t="s">
        <v>109</v>
      </c>
      <c r="D14">
        <v>25720</v>
      </c>
      <c r="E14" t="s">
        <v>49</v>
      </c>
      <c r="F14" t="s">
        <v>50</v>
      </c>
      <c r="G14" t="s">
        <v>125</v>
      </c>
      <c r="H14">
        <v>4</v>
      </c>
      <c r="I14" t="s">
        <v>1</v>
      </c>
      <c r="J14" t="s">
        <v>40</v>
      </c>
      <c r="K14">
        <v>2025</v>
      </c>
      <c r="L14">
        <v>2</v>
      </c>
      <c r="M14" t="s">
        <v>42</v>
      </c>
      <c r="N14" t="s">
        <v>8</v>
      </c>
    </row>
    <row r="15" spans="1:14" x14ac:dyDescent="0.25">
      <c r="A15" t="s">
        <v>15</v>
      </c>
      <c r="B15" t="s">
        <v>84</v>
      </c>
      <c r="C15" t="s">
        <v>110</v>
      </c>
      <c r="D15">
        <v>25720</v>
      </c>
      <c r="E15" t="s">
        <v>51</v>
      </c>
      <c r="F15" t="s">
        <v>50</v>
      </c>
      <c r="G15" t="s">
        <v>125</v>
      </c>
      <c r="H15">
        <v>5</v>
      </c>
      <c r="I15" t="s">
        <v>8</v>
      </c>
      <c r="J15" t="s">
        <v>40</v>
      </c>
      <c r="K15">
        <v>2025</v>
      </c>
      <c r="L15">
        <v>3</v>
      </c>
      <c r="M15" t="s">
        <v>43</v>
      </c>
      <c r="N15" t="s">
        <v>1</v>
      </c>
    </row>
    <row r="16" spans="1:14" x14ac:dyDescent="0.25">
      <c r="A16" t="s">
        <v>16</v>
      </c>
      <c r="B16" t="s">
        <v>85</v>
      </c>
      <c r="C16" t="s">
        <v>64</v>
      </c>
      <c r="D16">
        <v>25720</v>
      </c>
      <c r="E16" t="s">
        <v>49</v>
      </c>
      <c r="F16" t="s">
        <v>124</v>
      </c>
      <c r="G16" t="s">
        <v>126</v>
      </c>
      <c r="H16">
        <v>1</v>
      </c>
      <c r="I16" t="s">
        <v>1</v>
      </c>
      <c r="J16" t="s">
        <v>40</v>
      </c>
      <c r="K16">
        <v>2025</v>
      </c>
      <c r="L16">
        <v>4</v>
      </c>
      <c r="M16" t="s">
        <v>43</v>
      </c>
      <c r="N16" t="s">
        <v>1</v>
      </c>
    </row>
    <row r="17" spans="1:14" x14ac:dyDescent="0.25">
      <c r="A17" t="s">
        <v>17</v>
      </c>
      <c r="B17" t="s">
        <v>86</v>
      </c>
      <c r="C17" t="s">
        <v>65</v>
      </c>
      <c r="D17">
        <v>25720</v>
      </c>
      <c r="E17" t="s">
        <v>49</v>
      </c>
      <c r="F17" t="s">
        <v>124</v>
      </c>
      <c r="G17" t="s">
        <v>126</v>
      </c>
      <c r="H17">
        <v>2</v>
      </c>
      <c r="I17" t="s">
        <v>1</v>
      </c>
      <c r="J17" t="s">
        <v>40</v>
      </c>
      <c r="K17">
        <v>2025</v>
      </c>
      <c r="L17">
        <v>5</v>
      </c>
      <c r="M17" t="s">
        <v>43</v>
      </c>
      <c r="N17" t="s">
        <v>1</v>
      </c>
    </row>
    <row r="18" spans="1:14" x14ac:dyDescent="0.25">
      <c r="A18" t="s">
        <v>18</v>
      </c>
      <c r="B18" t="s">
        <v>87</v>
      </c>
      <c r="C18" t="s">
        <v>111</v>
      </c>
      <c r="D18">
        <v>25720</v>
      </c>
      <c r="E18" t="s">
        <v>51</v>
      </c>
      <c r="F18" t="s">
        <v>50</v>
      </c>
      <c r="G18" t="s">
        <v>125</v>
      </c>
      <c r="H18">
        <v>3</v>
      </c>
      <c r="I18" t="s">
        <v>1</v>
      </c>
      <c r="J18" t="s">
        <v>40</v>
      </c>
      <c r="K18">
        <v>2025</v>
      </c>
      <c r="L18">
        <v>6</v>
      </c>
      <c r="M18" t="s">
        <v>42</v>
      </c>
      <c r="N18" t="s">
        <v>1</v>
      </c>
    </row>
    <row r="19" spans="1:14" x14ac:dyDescent="0.25">
      <c r="A19" t="s">
        <v>19</v>
      </c>
      <c r="B19" t="s">
        <v>88</v>
      </c>
      <c r="C19" t="s">
        <v>112</v>
      </c>
      <c r="D19">
        <v>33200</v>
      </c>
      <c r="E19" t="s">
        <v>49</v>
      </c>
      <c r="F19" t="s">
        <v>50</v>
      </c>
      <c r="G19" t="s">
        <v>125</v>
      </c>
      <c r="H19">
        <v>4</v>
      </c>
      <c r="I19" t="s">
        <v>1</v>
      </c>
      <c r="J19" t="s">
        <v>40</v>
      </c>
      <c r="K19">
        <v>2025</v>
      </c>
      <c r="L19">
        <v>7</v>
      </c>
      <c r="M19" t="s">
        <v>43</v>
      </c>
      <c r="N19" t="s">
        <v>1</v>
      </c>
    </row>
    <row r="20" spans="1:14" x14ac:dyDescent="0.25">
      <c r="A20" t="s">
        <v>20</v>
      </c>
      <c r="B20" t="s">
        <v>89</v>
      </c>
      <c r="C20" t="s">
        <v>66</v>
      </c>
      <c r="D20">
        <v>25720</v>
      </c>
      <c r="E20" t="s">
        <v>49</v>
      </c>
      <c r="F20" t="s">
        <v>50</v>
      </c>
      <c r="G20" t="s">
        <v>126</v>
      </c>
      <c r="H20">
        <v>5</v>
      </c>
      <c r="I20" t="s">
        <v>1</v>
      </c>
      <c r="J20" t="s">
        <v>40</v>
      </c>
      <c r="K20">
        <v>2025</v>
      </c>
      <c r="L20">
        <v>8</v>
      </c>
      <c r="M20" t="s">
        <v>43</v>
      </c>
      <c r="N20" t="s">
        <v>8</v>
      </c>
    </row>
    <row r="21" spans="1:14" x14ac:dyDescent="0.25">
      <c r="A21" t="s">
        <v>21</v>
      </c>
      <c r="B21" t="s">
        <v>90</v>
      </c>
      <c r="C21" t="s">
        <v>67</v>
      </c>
      <c r="D21">
        <v>33200</v>
      </c>
      <c r="E21" t="s">
        <v>49</v>
      </c>
      <c r="F21" t="s">
        <v>50</v>
      </c>
      <c r="G21" t="s">
        <v>125</v>
      </c>
      <c r="H21">
        <v>1</v>
      </c>
      <c r="I21" t="s">
        <v>1</v>
      </c>
      <c r="J21" t="s">
        <v>40</v>
      </c>
      <c r="K21">
        <v>2025</v>
      </c>
      <c r="L21">
        <v>9</v>
      </c>
      <c r="M21" t="s">
        <v>43</v>
      </c>
      <c r="N21" t="s">
        <v>1</v>
      </c>
    </row>
    <row r="22" spans="1:14" x14ac:dyDescent="0.25">
      <c r="A22" t="s">
        <v>22</v>
      </c>
      <c r="B22" t="s">
        <v>91</v>
      </c>
      <c r="C22" t="s">
        <v>113</v>
      </c>
      <c r="D22">
        <v>30814</v>
      </c>
      <c r="E22" t="s">
        <v>51</v>
      </c>
      <c r="F22" t="s">
        <v>50</v>
      </c>
      <c r="G22" t="s">
        <v>126</v>
      </c>
      <c r="H22">
        <v>2</v>
      </c>
      <c r="I22" t="s">
        <v>8</v>
      </c>
      <c r="J22" t="s">
        <v>40</v>
      </c>
      <c r="K22">
        <v>2025</v>
      </c>
      <c r="L22">
        <v>10</v>
      </c>
      <c r="M22" t="s">
        <v>42</v>
      </c>
      <c r="N22" t="s">
        <v>1</v>
      </c>
    </row>
    <row r="23" spans="1:14" x14ac:dyDescent="0.25">
      <c r="A23" t="s">
        <v>23</v>
      </c>
      <c r="B23" t="s">
        <v>92</v>
      </c>
      <c r="C23" t="s">
        <v>114</v>
      </c>
      <c r="D23">
        <v>30814</v>
      </c>
      <c r="E23" t="s">
        <v>49</v>
      </c>
      <c r="F23" t="s">
        <v>50</v>
      </c>
      <c r="G23" t="s">
        <v>125</v>
      </c>
      <c r="H23">
        <v>3</v>
      </c>
      <c r="I23" t="s">
        <v>1</v>
      </c>
      <c r="J23" t="s">
        <v>40</v>
      </c>
      <c r="K23">
        <v>2025</v>
      </c>
      <c r="L23">
        <v>11</v>
      </c>
      <c r="M23" t="s">
        <v>43</v>
      </c>
      <c r="N23" t="s">
        <v>1</v>
      </c>
    </row>
    <row r="24" spans="1:14" x14ac:dyDescent="0.25">
      <c r="A24" t="s">
        <v>24</v>
      </c>
      <c r="B24" t="s">
        <v>68</v>
      </c>
      <c r="C24" t="s">
        <v>115</v>
      </c>
      <c r="D24">
        <v>25720</v>
      </c>
      <c r="E24" t="s">
        <v>49</v>
      </c>
      <c r="F24" t="s">
        <v>124</v>
      </c>
      <c r="G24" t="s">
        <v>126</v>
      </c>
      <c r="H24">
        <v>4</v>
      </c>
      <c r="I24" t="s">
        <v>1</v>
      </c>
      <c r="J24" t="s">
        <v>40</v>
      </c>
      <c r="K24">
        <v>2025</v>
      </c>
      <c r="L24">
        <v>12</v>
      </c>
      <c r="M24" t="s">
        <v>43</v>
      </c>
      <c r="N24" t="s">
        <v>1</v>
      </c>
    </row>
    <row r="25" spans="1:14" x14ac:dyDescent="0.25">
      <c r="A25" t="s">
        <v>25</v>
      </c>
      <c r="B25" t="s">
        <v>69</v>
      </c>
      <c r="C25" t="s">
        <v>116</v>
      </c>
      <c r="D25">
        <v>30814</v>
      </c>
      <c r="E25" t="s">
        <v>51</v>
      </c>
      <c r="F25" t="s">
        <v>124</v>
      </c>
      <c r="G25" t="s">
        <v>126</v>
      </c>
      <c r="H25">
        <v>5</v>
      </c>
      <c r="I25" t="s">
        <v>1</v>
      </c>
      <c r="J25" t="s">
        <v>40</v>
      </c>
      <c r="K25">
        <v>2025</v>
      </c>
      <c r="L25">
        <v>1</v>
      </c>
      <c r="M25" t="s">
        <v>43</v>
      </c>
      <c r="N25" t="s">
        <v>1</v>
      </c>
    </row>
    <row r="26" spans="1:14" x14ac:dyDescent="0.25">
      <c r="A26" t="s">
        <v>26</v>
      </c>
      <c r="B26" t="s">
        <v>93</v>
      </c>
      <c r="C26" t="s">
        <v>117</v>
      </c>
      <c r="D26">
        <v>33200</v>
      </c>
      <c r="E26" t="s">
        <v>49</v>
      </c>
      <c r="F26" t="s">
        <v>50</v>
      </c>
      <c r="G26" t="s">
        <v>126</v>
      </c>
      <c r="H26">
        <v>1</v>
      </c>
      <c r="I26" t="s">
        <v>1</v>
      </c>
      <c r="J26" t="s">
        <v>40</v>
      </c>
      <c r="K26">
        <v>2025</v>
      </c>
      <c r="L26">
        <v>2</v>
      </c>
      <c r="M26" t="s">
        <v>42</v>
      </c>
      <c r="N26" t="s">
        <v>8</v>
      </c>
    </row>
    <row r="27" spans="1:14" x14ac:dyDescent="0.25">
      <c r="A27" t="s">
        <v>27</v>
      </c>
      <c r="B27" t="s">
        <v>94</v>
      </c>
      <c r="C27" t="s">
        <v>118</v>
      </c>
      <c r="D27">
        <v>30814</v>
      </c>
      <c r="E27" t="s">
        <v>51</v>
      </c>
      <c r="F27" t="s">
        <v>50</v>
      </c>
      <c r="G27" t="s">
        <v>126</v>
      </c>
      <c r="H27">
        <v>2</v>
      </c>
      <c r="I27" t="s">
        <v>1</v>
      </c>
      <c r="J27" t="s">
        <v>40</v>
      </c>
      <c r="K27">
        <v>2025</v>
      </c>
      <c r="L27">
        <v>3</v>
      </c>
      <c r="M27" t="s">
        <v>43</v>
      </c>
      <c r="N27" t="s">
        <v>1</v>
      </c>
    </row>
    <row r="28" spans="1:14" x14ac:dyDescent="0.25">
      <c r="A28" t="s">
        <v>28</v>
      </c>
      <c r="B28" t="s">
        <v>70</v>
      </c>
      <c r="C28" t="s">
        <v>119</v>
      </c>
      <c r="D28">
        <v>25574</v>
      </c>
      <c r="E28" t="s">
        <v>51</v>
      </c>
      <c r="F28" t="s">
        <v>50</v>
      </c>
      <c r="G28" t="s">
        <v>125</v>
      </c>
      <c r="H28">
        <v>3</v>
      </c>
      <c r="I28" t="s">
        <v>1</v>
      </c>
      <c r="J28" t="s">
        <v>40</v>
      </c>
      <c r="K28">
        <v>2025</v>
      </c>
      <c r="L28">
        <v>4</v>
      </c>
      <c r="M28" t="s">
        <v>43</v>
      </c>
      <c r="N28" t="s">
        <v>1</v>
      </c>
    </row>
    <row r="29" spans="1:14" x14ac:dyDescent="0.25">
      <c r="A29" t="s">
        <v>29</v>
      </c>
      <c r="B29" t="s">
        <v>71</v>
      </c>
      <c r="C29" t="s">
        <v>120</v>
      </c>
      <c r="D29">
        <v>30814</v>
      </c>
      <c r="E29" t="s">
        <v>49</v>
      </c>
      <c r="F29" t="s">
        <v>50</v>
      </c>
      <c r="G29" t="s">
        <v>125</v>
      </c>
      <c r="H29">
        <v>4</v>
      </c>
      <c r="I29" t="s">
        <v>8</v>
      </c>
      <c r="J29" t="s">
        <v>40</v>
      </c>
      <c r="K29">
        <v>2025</v>
      </c>
      <c r="L29">
        <v>5</v>
      </c>
      <c r="M29" t="s">
        <v>43</v>
      </c>
      <c r="N29" t="s">
        <v>1</v>
      </c>
    </row>
    <row r="30" spans="1:14" x14ac:dyDescent="0.25">
      <c r="A30" t="s">
        <v>30</v>
      </c>
      <c r="B30" t="s">
        <v>95</v>
      </c>
      <c r="C30" t="s">
        <v>121</v>
      </c>
      <c r="D30">
        <v>30814</v>
      </c>
      <c r="E30" t="s">
        <v>49</v>
      </c>
      <c r="F30" t="s">
        <v>124</v>
      </c>
      <c r="G30" t="s">
        <v>126</v>
      </c>
      <c r="H30">
        <v>5</v>
      </c>
      <c r="I30" t="s">
        <v>1</v>
      </c>
      <c r="J30" t="s">
        <v>40</v>
      </c>
      <c r="K30">
        <v>2025</v>
      </c>
      <c r="L30">
        <v>6</v>
      </c>
      <c r="M30" t="s">
        <v>42</v>
      </c>
      <c r="N30" t="s">
        <v>1</v>
      </c>
    </row>
    <row r="31" spans="1:14" x14ac:dyDescent="0.25">
      <c r="A31" t="s">
        <v>31</v>
      </c>
      <c r="B31" t="s">
        <v>96</v>
      </c>
      <c r="C31" t="s">
        <v>72</v>
      </c>
      <c r="D31">
        <v>30814</v>
      </c>
      <c r="E31" t="s">
        <v>51</v>
      </c>
      <c r="F31" t="s">
        <v>124</v>
      </c>
      <c r="G31" t="s">
        <v>125</v>
      </c>
      <c r="H31">
        <v>1</v>
      </c>
      <c r="I31" t="s">
        <v>1</v>
      </c>
      <c r="J31" t="s">
        <v>40</v>
      </c>
      <c r="K31">
        <v>2025</v>
      </c>
      <c r="L31">
        <v>7</v>
      </c>
      <c r="M31" t="s">
        <v>43</v>
      </c>
      <c r="N31" t="s">
        <v>1</v>
      </c>
    </row>
    <row r="32" spans="1:14" x14ac:dyDescent="0.25">
      <c r="A32" t="s">
        <v>32</v>
      </c>
      <c r="B32" t="s">
        <v>73</v>
      </c>
      <c r="C32" t="s">
        <v>122</v>
      </c>
      <c r="D32">
        <v>33200</v>
      </c>
      <c r="E32" t="s">
        <v>49</v>
      </c>
      <c r="F32" t="s">
        <v>50</v>
      </c>
      <c r="G32" t="s">
        <v>125</v>
      </c>
      <c r="H32">
        <v>2</v>
      </c>
      <c r="I32" t="s">
        <v>1</v>
      </c>
      <c r="J32" t="s">
        <v>40</v>
      </c>
      <c r="K32">
        <v>2025</v>
      </c>
      <c r="L32">
        <v>8</v>
      </c>
      <c r="M32" t="s">
        <v>43</v>
      </c>
      <c r="N32" t="s">
        <v>8</v>
      </c>
    </row>
    <row r="33" spans="1:14" x14ac:dyDescent="0.25">
      <c r="A33" t="s">
        <v>33</v>
      </c>
      <c r="B33" t="s">
        <v>97</v>
      </c>
      <c r="C33" t="s">
        <v>74</v>
      </c>
      <c r="D33">
        <v>25720</v>
      </c>
      <c r="E33" t="s">
        <v>51</v>
      </c>
      <c r="F33" t="s">
        <v>124</v>
      </c>
      <c r="G33" t="s">
        <v>126</v>
      </c>
      <c r="H33">
        <v>3</v>
      </c>
      <c r="I33" t="s">
        <v>1</v>
      </c>
      <c r="J33" t="s">
        <v>40</v>
      </c>
      <c r="K33">
        <v>2025</v>
      </c>
      <c r="L33">
        <v>9</v>
      </c>
      <c r="M33" t="s">
        <v>43</v>
      </c>
      <c r="N33" t="s">
        <v>1</v>
      </c>
    </row>
    <row r="34" spans="1:14" x14ac:dyDescent="0.25">
      <c r="A34" t="s">
        <v>34</v>
      </c>
      <c r="B34" t="s">
        <v>75</v>
      </c>
      <c r="C34" t="s">
        <v>123</v>
      </c>
      <c r="D34">
        <v>30814</v>
      </c>
      <c r="E34" t="s">
        <v>51</v>
      </c>
      <c r="F34" t="s">
        <v>124</v>
      </c>
      <c r="G34" t="s">
        <v>125</v>
      </c>
      <c r="H34">
        <v>4</v>
      </c>
      <c r="I34" t="s">
        <v>1</v>
      </c>
      <c r="J34" t="s">
        <v>40</v>
      </c>
      <c r="K34">
        <v>2025</v>
      </c>
      <c r="L34">
        <v>10</v>
      </c>
      <c r="M34" t="s">
        <v>42</v>
      </c>
      <c r="N34" t="s">
        <v>1</v>
      </c>
    </row>
    <row r="35" spans="1:14" x14ac:dyDescent="0.25">
      <c r="A35" t="s">
        <v>35</v>
      </c>
      <c r="B35" t="s">
        <v>98</v>
      </c>
      <c r="C35" t="s">
        <v>76</v>
      </c>
      <c r="D35">
        <v>30814</v>
      </c>
      <c r="E35" t="s">
        <v>51</v>
      </c>
      <c r="F35" t="s">
        <v>124</v>
      </c>
      <c r="G35" t="s">
        <v>126</v>
      </c>
      <c r="H35">
        <v>5</v>
      </c>
      <c r="I35" t="s">
        <v>1</v>
      </c>
      <c r="J35" t="s">
        <v>40</v>
      </c>
      <c r="K35">
        <v>2025</v>
      </c>
      <c r="L35">
        <v>11</v>
      </c>
      <c r="M35" t="s">
        <v>43</v>
      </c>
      <c r="N35" t="s">
        <v>1</v>
      </c>
    </row>
    <row r="36" spans="1:14" x14ac:dyDescent="0.25">
      <c r="A36" t="s">
        <v>36</v>
      </c>
      <c r="B36" t="s">
        <v>99</v>
      </c>
      <c r="C36" t="s">
        <v>77</v>
      </c>
      <c r="D36">
        <v>25720</v>
      </c>
      <c r="E36" t="s">
        <v>49</v>
      </c>
      <c r="F36" t="s">
        <v>124</v>
      </c>
      <c r="G36" t="s">
        <v>125</v>
      </c>
      <c r="H36">
        <v>1</v>
      </c>
      <c r="I36" t="s">
        <v>8</v>
      </c>
      <c r="J36" t="s">
        <v>40</v>
      </c>
      <c r="K36">
        <v>2025</v>
      </c>
      <c r="L36">
        <v>12</v>
      </c>
      <c r="M36" t="s">
        <v>43</v>
      </c>
      <c r="N36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465A-E33E-44CF-9672-9DAA4AFCA8CD}">
  <dimension ref="A3"/>
  <sheetViews>
    <sheetView workbookViewId="0">
      <selection activeCell="B37" sqref="B37"/>
    </sheetView>
  </sheetViews>
  <sheetFormatPr defaultRowHeight="15" x14ac:dyDescent="0.25"/>
  <sheetData>
    <row r="3" spans="1:1" x14ac:dyDescent="0.25">
      <c r="A3" t="s">
        <v>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37BB8C-106D-4959-BFA4-1280A53012C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ea7c128-c601-4479-a003-e14d00c0b5cb}" enabled="0" method="" siteId="{3ea7c128-c601-4479-a003-e14d00c0b5c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Level 1</vt:lpstr>
      <vt:lpstr>Level 2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Chittenden</dc:creator>
  <cp:lastModifiedBy>Michael Chittenden</cp:lastModifiedBy>
  <dcterms:created xsi:type="dcterms:W3CDTF">2025-12-18T09:06:51Z</dcterms:created>
  <dcterms:modified xsi:type="dcterms:W3CDTF">2025-12-19T14:56:48Z</dcterms:modified>
</cp:coreProperties>
</file>