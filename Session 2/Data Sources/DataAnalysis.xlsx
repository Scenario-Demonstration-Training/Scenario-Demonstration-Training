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Scenario-Demonstration-Training/Session 2/Data Sources/"/>
    </mc:Choice>
  </mc:AlternateContent>
  <xr:revisionPtr revIDLastSave="130" documentId="8_{ECFEDC17-B090-4127-85B7-50BDC3E94275}" xr6:coauthVersionLast="47" xr6:coauthVersionMax="47" xr10:uidLastSave="{E4911F0F-03D4-41DE-B2BB-F00101E49355}"/>
  <bookViews>
    <workbookView xWindow="28680" yWindow="-75" windowWidth="29040" windowHeight="15720" activeTab="2" xr2:uid="{9BB4D2A1-FDFC-4D4B-95EB-21AD45D4BCEB}"/>
  </bookViews>
  <sheets>
    <sheet name="Level 1" sheetId="9" r:id="rId1"/>
    <sheet name="Sheet3" sheetId="15" r:id="rId2"/>
    <sheet name="Level 2" sheetId="13" r:id="rId3"/>
    <sheet name="Sheet1" sheetId="8" r:id="rId4"/>
    <sheet name="Sheet5" sheetId="12" r:id="rId5"/>
  </sheet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3" l="1"/>
  <c r="K44" i="13"/>
  <c r="K43" i="13"/>
  <c r="I44" i="13"/>
  <c r="I43" i="13"/>
  <c r="G4" i="13"/>
  <c r="H4" i="13" s="1"/>
  <c r="G5" i="13"/>
  <c r="H5" i="13" s="1"/>
  <c r="G6" i="13"/>
  <c r="H6" i="13" s="1"/>
  <c r="G7" i="13"/>
  <c r="H7" i="13" s="1"/>
  <c r="G8" i="13"/>
  <c r="H8" i="13" s="1"/>
  <c r="G9" i="13"/>
  <c r="H9" i="13" s="1"/>
  <c r="G10" i="13"/>
  <c r="H10" i="13" s="1"/>
  <c r="G11" i="13"/>
  <c r="H11" i="13" s="1"/>
  <c r="U11" i="13" s="1" a="1"/>
  <c r="U11" i="13" s="1"/>
  <c r="G12" i="13"/>
  <c r="H12" i="13" s="1"/>
  <c r="G13" i="13"/>
  <c r="H13" i="13" s="1"/>
  <c r="G14" i="13"/>
  <c r="H14" i="13" s="1"/>
  <c r="G15" i="13"/>
  <c r="H15" i="13" s="1"/>
  <c r="G16" i="13"/>
  <c r="H16" i="13" s="1"/>
  <c r="G17" i="13"/>
  <c r="H17" i="13" s="1"/>
  <c r="G18" i="13"/>
  <c r="H18" i="13" s="1"/>
  <c r="G19" i="13"/>
  <c r="H19" i="13" s="1"/>
  <c r="U19" i="13" s="1" a="1"/>
  <c r="U19" i="13" s="1"/>
  <c r="G20" i="13"/>
  <c r="H20" i="13" s="1"/>
  <c r="G21" i="13"/>
  <c r="H21" i="13" s="1"/>
  <c r="G22" i="13"/>
  <c r="H22" i="13" s="1"/>
  <c r="G23" i="13"/>
  <c r="H23" i="13" s="1"/>
  <c r="G24" i="13"/>
  <c r="H24" i="13" s="1"/>
  <c r="G25" i="13"/>
  <c r="H25" i="13" s="1"/>
  <c r="G26" i="13"/>
  <c r="H26" i="13" s="1"/>
  <c r="G27" i="13"/>
  <c r="H27" i="13" s="1"/>
  <c r="U27" i="13" s="1" a="1"/>
  <c r="U27" i="13" s="1"/>
  <c r="G28" i="13"/>
  <c r="H28" i="13" s="1"/>
  <c r="G29" i="13"/>
  <c r="H29" i="13" s="1"/>
  <c r="G30" i="13"/>
  <c r="H30" i="13" s="1"/>
  <c r="G31" i="13"/>
  <c r="H31" i="13" s="1"/>
  <c r="G32" i="13"/>
  <c r="H32" i="13" s="1"/>
  <c r="G33" i="13"/>
  <c r="H33" i="13" s="1"/>
  <c r="G34" i="13"/>
  <c r="H34" i="13" s="1"/>
  <c r="G35" i="13"/>
  <c r="H35" i="13" s="1"/>
  <c r="U35" i="13" s="1" a="1"/>
  <c r="U35" i="13" s="1"/>
  <c r="G36" i="13"/>
  <c r="H36" i="13" s="1"/>
  <c r="G37" i="13"/>
  <c r="H37" i="13" s="1"/>
  <c r="G38" i="13"/>
  <c r="H38" i="13" s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E4" i="13"/>
  <c r="E5" i="13"/>
  <c r="E6" i="13"/>
  <c r="E7" i="13"/>
  <c r="E8" i="13"/>
  <c r="E9" i="13"/>
  <c r="E10" i="13"/>
  <c r="E11" i="13"/>
  <c r="E12" i="13"/>
  <c r="E13" i="13"/>
  <c r="E14" i="13"/>
  <c r="U14" i="13" s="1" a="1"/>
  <c r="U14" i="13" s="1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S11" i="9"/>
  <c r="S10" i="9"/>
  <c r="R11" i="9"/>
  <c r="R10" i="9"/>
  <c r="Q8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Q6" i="9"/>
  <c r="Q5" i="9"/>
  <c r="Q4" i="9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U31" i="13" l="1" a="1"/>
  <c r="U31" i="13" s="1"/>
  <c r="U23" i="13" a="1"/>
  <c r="U23" i="13" s="1"/>
  <c r="U15" i="13" a="1"/>
  <c r="U15" i="13" s="1"/>
  <c r="U7" i="13" a="1"/>
  <c r="U7" i="13" s="1"/>
  <c r="U18" i="13" a="1"/>
  <c r="U18" i="13" s="1"/>
  <c r="U38" i="13" a="1"/>
  <c r="U38" i="13" s="1"/>
  <c r="U30" i="13" a="1"/>
  <c r="U30" i="13" s="1"/>
  <c r="U22" i="13" a="1"/>
  <c r="U22" i="13" s="1"/>
  <c r="U6" i="13" a="1"/>
  <c r="U6" i="13" s="1"/>
  <c r="U32" i="13" a="1"/>
  <c r="U32" i="13" s="1"/>
  <c r="U24" i="13" a="1"/>
  <c r="U24" i="13" s="1"/>
  <c r="U16" i="13" a="1"/>
  <c r="U16" i="13" s="1"/>
  <c r="U8" i="13" a="1"/>
  <c r="U8" i="13" s="1"/>
  <c r="U29" i="13" a="1"/>
  <c r="U29" i="13" s="1"/>
  <c r="U13" i="13" a="1"/>
  <c r="U13" i="13" s="1"/>
  <c r="U36" i="13" a="1"/>
  <c r="U36" i="13" s="1"/>
  <c r="U12" i="13" a="1"/>
  <c r="U12" i="13" s="1"/>
  <c r="U4" i="13" a="1"/>
  <c r="U4" i="13" s="1"/>
  <c r="U34" i="13" a="1"/>
  <c r="U34" i="13" s="1"/>
  <c r="U26" i="13" a="1"/>
  <c r="U26" i="13" s="1"/>
  <c r="U10" i="13" a="1"/>
  <c r="U10" i="13" s="1"/>
  <c r="U37" i="13" a="1"/>
  <c r="U37" i="13" s="1"/>
  <c r="U21" i="13" a="1"/>
  <c r="U21" i="13" s="1"/>
  <c r="U5" i="13" a="1"/>
  <c r="U5" i="13" s="1"/>
  <c r="U33" i="13" a="1"/>
  <c r="U33" i="13" s="1"/>
  <c r="U25" i="13" a="1"/>
  <c r="U25" i="13" s="1"/>
  <c r="U17" i="13" a="1"/>
  <c r="U17" i="13" s="1"/>
  <c r="U9" i="13" a="1"/>
  <c r="U9" i="13" s="1"/>
  <c r="U20" i="13" a="1"/>
  <c r="U20" i="13" s="1"/>
  <c r="U28" i="13" a="1"/>
  <c r="U28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1ED7E-002C-466D-973E-00C0CE083BD6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7D5D7841-AC0F-4ACB-9A35-739759245B5D}" keepAlive="1" name="Query - messy_patient_details" description="Connection to the 'messy_patient_details' query in the workbook." type="5" refreshedVersion="8" background="1" saveData="1">
    <dbPr connection="Provider=Microsoft.Mashup.OleDb.1;Data Source=$Workbook$;Location=messy_patient_details;Extended Properties=&quot;&quot;" command="SELECT * FROM [messy_patient_details]"/>
  </connection>
  <connection id="3" xr16:uid="{4B46AEE4-DC42-48D9-8CD8-9CF74E8B065B}" keepAlive="1" name="Query - patient_attendance" description="Connection to the 'patient_attendance' query in the workbook." type="5" refreshedVersion="8" background="1" saveData="1">
    <dbPr connection="Provider=Microsoft.Mashup.OleDb.1;Data Source=$Workbook$;Location=patient_attendance;Extended Properties=&quot;&quot;" command="SELECT * FROM [patient_attendance]"/>
  </connection>
  <connection id="4" xr16:uid="{A60F9EF2-E07D-4258-8F6B-A7D9FDCE3CE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5" xr16:uid="{BC629B02-D393-4D66-BC1A-EF202937FE2C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<sst xmlns="http://schemas.openxmlformats.org/spreadsheetml/2006/main" count="1105" uniqueCount="145">
  <si>
    <t>PT1001</t>
  </si>
  <si>
    <t>No</t>
  </si>
  <si>
    <t>PT1002</t>
  </si>
  <si>
    <t>PT1003</t>
  </si>
  <si>
    <t>PT1004</t>
  </si>
  <si>
    <t>PT1005</t>
  </si>
  <si>
    <t>PT1006</t>
  </si>
  <si>
    <t>PT1007</t>
  </si>
  <si>
    <t>Yes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</si>
  <si>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</si>
  <si>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</si>
  <si>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</si>
  <si>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</si>
  <si>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</si>
  <si>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</si>
  <si>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</si>
  <si>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</si>
  <si>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</si>
  <si>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</si>
  <si>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</si>
  <si>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</si>
  <si>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</si>
  <si>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</si>
  <si>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</si>
  <si>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</si>
  <si>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</si>
  <si>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</si>
  <si>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</si>
  <si>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</si>
  <si>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</si>
  <si>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</si>
  <si>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</si>
  <si>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</si>
  <si>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</si>
  <si>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</si>
  <si>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</si>
  <si>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</si>
  <si>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Department</t>
  </si>
  <si>
    <t>Year</t>
  </si>
  <si>
    <t>Month</t>
  </si>
  <si>
    <t>Cardiology</t>
  </si>
  <si>
    <t>Outcome</t>
  </si>
  <si>
    <t>Ongoing</t>
  </si>
  <si>
    <t>Improved</t>
  </si>
  <si>
    <t xml:space="preserve"> Patient ID </t>
  </si>
  <si>
    <t>Date of Birth</t>
  </si>
  <si>
    <t>Gender</t>
  </si>
  <si>
    <t>GP</t>
  </si>
  <si>
    <t>On Medication</t>
  </si>
  <si>
    <t>M</t>
  </si>
  <si>
    <t>HEALTH CENTRE NORTH</t>
  </si>
  <si>
    <t>F</t>
  </si>
  <si>
    <t>Full</t>
  </si>
  <si>
    <t>Name</t>
  </si>
  <si>
    <t>Jane</t>
  </si>
  <si>
    <t>Alice</t>
  </si>
  <si>
    <t>Robert</t>
  </si>
  <si>
    <t>Sarah</t>
  </si>
  <si>
    <t>BLACK</t>
  </si>
  <si>
    <t>HARRIS</t>
  </si>
  <si>
    <t>Laura</t>
  </si>
  <si>
    <t>David</t>
  </si>
  <si>
    <t>LEWIS</t>
  </si>
  <si>
    <t>Olivia</t>
  </si>
  <si>
    <t>KING</t>
  </si>
  <si>
    <t>WRIGHT</t>
  </si>
  <si>
    <t>ADAMS</t>
  </si>
  <si>
    <t>BAKER</t>
  </si>
  <si>
    <t>Chloe</t>
  </si>
  <si>
    <t>Noah</t>
  </si>
  <si>
    <t>Mia</t>
  </si>
  <si>
    <t>Oliver</t>
  </si>
  <si>
    <t>EVANS</t>
  </si>
  <si>
    <t>Zoe</t>
  </si>
  <si>
    <t>COLLINS</t>
  </si>
  <si>
    <t>Ava</t>
  </si>
  <si>
    <t>MORRIS</t>
  </si>
  <si>
    <t>ROGERS</t>
  </si>
  <si>
    <t>John</t>
  </si>
  <si>
    <t>Michael</t>
  </si>
  <si>
    <t>Emily</t>
  </si>
  <si>
    <t>Thomas</t>
  </si>
  <si>
    <t>Emma</t>
  </si>
  <si>
    <t>Daniel</t>
  </si>
  <si>
    <t>James</t>
  </si>
  <si>
    <t>Sophia</t>
  </si>
  <si>
    <t>Matthew</t>
  </si>
  <si>
    <t>Isla</t>
  </si>
  <si>
    <t>Benjamin</t>
  </si>
  <si>
    <t>Amelia</t>
  </si>
  <si>
    <t>Lucas</t>
  </si>
  <si>
    <t>Grace</t>
  </si>
  <si>
    <t>Henry</t>
  </si>
  <si>
    <t>Ella</t>
  </si>
  <si>
    <t>Samuel</t>
  </si>
  <si>
    <t>Lily</t>
  </si>
  <si>
    <t>Ethan</t>
  </si>
  <si>
    <t>Joshua</t>
  </si>
  <si>
    <t>Ryan</t>
  </si>
  <si>
    <t>Hannah</t>
  </si>
  <si>
    <t>SMITH</t>
  </si>
  <si>
    <t>DOE</t>
  </si>
  <si>
    <t>BROWN</t>
  </si>
  <si>
    <t>JONES</t>
  </si>
  <si>
    <t>WHITE</t>
  </si>
  <si>
    <t>GREEN</t>
  </si>
  <si>
    <t>WILSON</t>
  </si>
  <si>
    <t>CLARK</t>
  </si>
  <si>
    <t>WALKER</t>
  </si>
  <si>
    <t>HALL</t>
  </si>
  <si>
    <t>YOUNG</t>
  </si>
  <si>
    <t>LOPEZ</t>
  </si>
  <si>
    <t>SCOTT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</si>
  <si>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</si>
  <si>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</si>
  <si>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</si>
  <si>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</si>
  <si>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</si>
  <si>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</si>
  <si>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</si>
  <si>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</si>
  <si>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</si>
  <si>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EDWARDS</t>
  </si>
  <si>
    <t>STEWART</t>
  </si>
  <si>
    <t>DR ADAMS</t>
  </si>
  <si>
    <t>YES</t>
  </si>
  <si>
    <t>NO</t>
  </si>
  <si>
    <t>Appointment Count</t>
  </si>
  <si>
    <t>DNA</t>
  </si>
  <si>
    <t>Follow Up Required</t>
  </si>
  <si>
    <t>Level 1 - What is in front of us?</t>
  </si>
  <si>
    <t>Appt Count</t>
  </si>
  <si>
    <t>DOB</t>
  </si>
  <si>
    <t>On Meds?</t>
  </si>
  <si>
    <t>Dept</t>
  </si>
  <si>
    <t>Follow Up</t>
  </si>
  <si>
    <t>Patients in Dataset</t>
  </si>
  <si>
    <t>Attendance Status</t>
  </si>
  <si>
    <t>Level 2 - Analysing and segmenting patient data to support decisions</t>
  </si>
  <si>
    <t>Birth Month</t>
  </si>
  <si>
    <t>Calculated Age</t>
  </si>
  <si>
    <t>Simple Age</t>
  </si>
  <si>
    <t>Follow Up action</t>
  </si>
  <si>
    <t>Current Month</t>
  </si>
  <si>
    <t>Calculated 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</si>
</sst>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1" fontId="0" fillId="0" borderId="0" xfId="0" applyNumberFormat="1" applyAlignment="1">
      <alignment textRotation="90"/>
    </xf>
    <xf numFmtId="0" fontId="0" fillId="0" borderId="0" xfId="0" applyAlignment="1">
      <alignment vertical="center" textRotation="90"/>
    </xf>
    <xf numFmtId="14" fontId="0" fillId="0" borderId="0" xfId="0" applyNumberFormat="1" applyAlignment="1">
      <alignment vertical="center" textRotation="90"/>
    </xf>
    <xf numFmtId="1" fontId="0" fillId="0" borderId="0" xfId="0" applyNumberFormat="1" applyAlignment="1">
      <alignment vertical="center" textRotation="90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alignment horizontal="general" vertical="center" textRotation="90" wrapText="0" indent="0" justifyLastLine="0" shrinkToFit="0" readingOrder="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Chittenden" refreshedDate="46013.379396875003" createdVersion="8" refreshedVersion="8" minRefreshableVersion="3" recordCount="35" xr:uid="{61114D7F-0937-4A7A-BF43-1F1D37EA4D59}">
  <cacheSource type="worksheet">
    <worksheetSource name="Table469"/>
  </cacheSource>
  <cacheFields count="21">
    <cacheField name=" Patient ID " numFmtId="0">
      <sharedItems/>
    </cacheField>
    <cacheField name="Full" numFmtId="0">
      <sharedItems/>
    </cacheField>
    <cacheField name="Name" numFmtId="0">
      <sharedItems/>
    </cacheField>
    <cacheField name="DOB" numFmtId="14">
      <sharedItems containsSemiMixedTypes="0" containsNonDate="0" containsDate="1" containsString="0" minDate="1970-01-06T00:00:00" maxDate="1990-11-24T00:00:00" count="4">
        <d v="1984-05-12T00:00:00"/>
        <d v="1970-06-01T00:00:00"/>
        <d v="1970-01-06T00:00:00"/>
        <d v="1990-11-23T00:00:00"/>
      </sharedItems>
    </cacheField>
    <cacheField name="Simple Age" numFmtId="1">
      <sharedItems containsSemiMixedTypes="0" containsString="0" containsNumber="1" containsInteger="1" minValue="35" maxValue="55"/>
    </cacheField>
    <cacheField name="Birth Month" numFmtId="1">
      <sharedItems containsSemiMixedTypes="0" containsString="0" containsNumber="1" containsInteger="1" minValue="1" maxValue="11" count="4">
        <n v="5"/>
        <n v="6"/>
        <n v="1"/>
        <n v="11"/>
      </sharedItems>
    </cacheField>
    <cacheField name="Current Month" numFmtId="1">
      <sharedItems containsSemiMixedTypes="0" containsString="0" containsNumber="1" containsInteger="1" minValue="12" maxValue="12"/>
    </cacheField>
    <cacheField name="Calculated Age" numFmtId="1">
      <sharedItems containsSemiMixedTypes="0" containsString="0" containsNumber="1" containsInteger="1" minValue="0" maxValue="0"/>
    </cacheField>
    <cacheField name="Calculated Age2" numFmtId="1">
      <sharedItems containsSemiMixedTypes="0" containsString="0" containsNumber="1" containsInteger="1" minValue="35" maxValue="55"/>
    </cacheField>
    <cacheField name="Gender" numFmtId="0">
      <sharedItems count="2">
        <s v="M"/>
        <s v="F"/>
      </sharedItems>
    </cacheField>
    <cacheField name="GP" numFmtId="0">
      <sharedItems count="2">
        <s v="HEALTH CENTRE NORTH"/>
        <s v="DR ADAMS"/>
      </sharedItems>
    </cacheField>
    <cacheField name="On Meds?" numFmtId="0">
      <sharedItems count="2">
        <s v="NO"/>
        <s v="YES"/>
      </sharedItems>
    </cacheField>
    <cacheField name="Appt Count" numFmtId="0">
      <sharedItems containsSemiMixedTypes="0" containsString="0" containsNumber="1" containsInteger="1" minValue="1" maxValue="5"/>
    </cacheField>
    <cacheField name="DNA" numFmtId="0">
      <sharedItems/>
    </cacheField>
    <cacheField name="Dept" numFmtId="0">
      <sharedItems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/>
    </cacheField>
    <cacheField name="Outcome" numFmtId="0">
      <sharedItems/>
    </cacheField>
    <cacheField name="Follow Up" numFmtId="0">
      <sharedItems count="2">
        <s v="Yes"/>
        <s v="No"/>
      </sharedItems>
    </cacheField>
    <cacheField name="Attendance Status" numFmtId="0">
      <sharedItems/>
    </cacheField>
    <cacheField name="Follow Up action" numFmtId="0">
      <sharedItems/>
    </cacheField>
  </cacheFields>
  <extLst>
    <ext xmlns:x14="http://schemas.microsoft.com/office/spreadsheetml/2009/9/main" uri="{725AE2AE-9491-48be-B2B4-4EB974FC3084}">
      <x14:pivotCacheDefinition pivotCacheId="10202385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PT1001"/>
    <s v="John"/>
    <s v="SMITH"/>
    <x v="0"/>
    <n v="41"/>
    <x v="0"/>
    <n v="12"/>
    <n v="0"/>
    <n v="41"/>
    <x v="0"/>
    <x v="0"/>
    <x v="0"/>
    <n v="2"/>
    <s v="No"/>
    <s v="Cardiology"/>
    <n v="2025"/>
    <n v="2"/>
    <s v="Ongoing"/>
    <x v="0"/>
    <s v="Has Not Missed Appointment"/>
    <s v="NO action required"/>
  </r>
  <r>
    <s v="PT1002"/>
    <s v="Jane"/>
    <s v="DOE"/>
    <x v="1"/>
    <n v="55"/>
    <x v="1"/>
    <n v="12"/>
    <n v="0"/>
    <n v="55"/>
    <x v="0"/>
    <x v="1"/>
    <x v="0"/>
    <n v="3"/>
    <s v="No"/>
    <s v="Cardiology"/>
    <n v="2025"/>
    <n v="3"/>
    <s v="Improved"/>
    <x v="1"/>
    <s v="Has Not Missed Appointment"/>
    <s v="NO action required"/>
  </r>
  <r>
    <s v="PT1003"/>
    <s v="Alice"/>
    <s v="BROWN"/>
    <x v="1"/>
    <n v="55"/>
    <x v="1"/>
    <n v="12"/>
    <n v="0"/>
    <n v="55"/>
    <x v="1"/>
    <x v="1"/>
    <x v="0"/>
    <n v="4"/>
    <s v="No"/>
    <s v="Cardiology"/>
    <n v="2025"/>
    <n v="4"/>
    <s v="Improved"/>
    <x v="1"/>
    <s v="Has Not Missed Appointment"/>
    <s v="NO action required"/>
  </r>
  <r>
    <s v="PT1004"/>
    <s v="Robert"/>
    <s v="JONES"/>
    <x v="1"/>
    <n v="55"/>
    <x v="1"/>
    <n v="12"/>
    <n v="0"/>
    <n v="55"/>
    <x v="1"/>
    <x v="0"/>
    <x v="0"/>
    <n v="5"/>
    <s v="No"/>
    <s v="Cardiology"/>
    <n v="2025"/>
    <n v="5"/>
    <s v="Improved"/>
    <x v="1"/>
    <s v="Has Not Missed Appointment"/>
    <s v="NO action required"/>
  </r>
  <r>
    <s v="PT1005"/>
    <s v="Sarah"/>
    <s v="WHITE"/>
    <x v="0"/>
    <n v="41"/>
    <x v="0"/>
    <n v="12"/>
    <n v="0"/>
    <n v="41"/>
    <x v="0"/>
    <x v="0"/>
    <x v="0"/>
    <n v="1"/>
    <s v="No"/>
    <s v="Cardiology"/>
    <n v="2025"/>
    <n v="6"/>
    <s v="Ongoing"/>
    <x v="1"/>
    <s v="Has Not Missed Appointment"/>
    <s v="NO action required"/>
  </r>
  <r>
    <s v="PT1006"/>
    <s v="Michael"/>
    <s v="GREEN"/>
    <x v="1"/>
    <n v="55"/>
    <x v="1"/>
    <n v="12"/>
    <n v="0"/>
    <n v="55"/>
    <x v="1"/>
    <x v="0"/>
    <x v="0"/>
    <n v="2"/>
    <s v="No"/>
    <s v="Cardiology"/>
    <n v="2025"/>
    <n v="7"/>
    <s v="Improved"/>
    <x v="1"/>
    <s v="Has Not Missed Appointment"/>
    <s v="NO action required"/>
  </r>
  <r>
    <s v="PT1007"/>
    <s v="Emily"/>
    <s v="BLACK"/>
    <x v="1"/>
    <n v="55"/>
    <x v="1"/>
    <n v="12"/>
    <n v="0"/>
    <n v="55"/>
    <x v="0"/>
    <x v="0"/>
    <x v="1"/>
    <n v="3"/>
    <s v="Yes"/>
    <s v="Cardiology"/>
    <n v="2025"/>
    <n v="8"/>
    <s v="Improved"/>
    <x v="0"/>
    <s v="Has Missed Appointment"/>
    <s v="Escalate"/>
  </r>
  <r>
    <s v="PT1008"/>
    <s v="Thomas"/>
    <s v="HARRIS"/>
    <x v="2"/>
    <n v="55"/>
    <x v="2"/>
    <n v="12"/>
    <n v="0"/>
    <n v="55"/>
    <x v="1"/>
    <x v="0"/>
    <x v="0"/>
    <n v="4"/>
    <s v="No"/>
    <s v="Cardiology"/>
    <n v="2025"/>
    <n v="9"/>
    <s v="Improved"/>
    <x v="1"/>
    <s v="Has Not Missed Appointment"/>
    <s v="NO action required"/>
  </r>
  <r>
    <s v="PT1009"/>
    <s v="Laura"/>
    <s v="WILSON"/>
    <x v="0"/>
    <n v="41"/>
    <x v="0"/>
    <n v="12"/>
    <n v="0"/>
    <n v="41"/>
    <x v="0"/>
    <x v="1"/>
    <x v="1"/>
    <n v="5"/>
    <s v="No"/>
    <s v="Cardiology"/>
    <n v="2025"/>
    <n v="10"/>
    <s v="Ongoing"/>
    <x v="1"/>
    <s v="Has Not Missed Appointment"/>
    <s v="NO action required"/>
  </r>
  <r>
    <s v="PT1010"/>
    <s v="David"/>
    <s v="CLARK"/>
    <x v="3"/>
    <n v="35"/>
    <x v="3"/>
    <n v="12"/>
    <n v="0"/>
    <n v="35"/>
    <x v="1"/>
    <x v="1"/>
    <x v="1"/>
    <n v="1"/>
    <s v="No"/>
    <s v="Cardiology"/>
    <n v="2025"/>
    <n v="11"/>
    <s v="Improved"/>
    <x v="1"/>
    <s v="Has Not Missed Appointment"/>
    <s v="NO action required"/>
  </r>
  <r>
    <s v="PT1011"/>
    <s v="Emma"/>
    <s v="LEWIS"/>
    <x v="3"/>
    <n v="35"/>
    <x v="3"/>
    <n v="12"/>
    <n v="0"/>
    <n v="35"/>
    <x v="1"/>
    <x v="0"/>
    <x v="0"/>
    <n v="2"/>
    <s v="No"/>
    <s v="Cardiology"/>
    <n v="2025"/>
    <n v="12"/>
    <s v="Improved"/>
    <x v="1"/>
    <s v="Has Not Missed Appointment"/>
    <s v="NO action required"/>
  </r>
  <r>
    <s v="PT1012"/>
    <s v="Daniel"/>
    <s v="WALKER"/>
    <x v="0"/>
    <n v="41"/>
    <x v="0"/>
    <n v="12"/>
    <n v="0"/>
    <n v="41"/>
    <x v="0"/>
    <x v="0"/>
    <x v="0"/>
    <n v="3"/>
    <s v="No"/>
    <s v="Cardiology"/>
    <n v="2025"/>
    <n v="1"/>
    <s v="Improved"/>
    <x v="1"/>
    <s v="Has Not Missed Appointment"/>
    <s v="NO action required"/>
  </r>
  <r>
    <s v="PT1013"/>
    <s v="Olivia"/>
    <s v="HALL"/>
    <x v="1"/>
    <n v="55"/>
    <x v="1"/>
    <n v="12"/>
    <n v="0"/>
    <n v="55"/>
    <x v="0"/>
    <x v="0"/>
    <x v="1"/>
    <n v="4"/>
    <s v="No"/>
    <s v="Cardiology"/>
    <n v="2025"/>
    <n v="2"/>
    <s v="Ongoing"/>
    <x v="0"/>
    <s v="Has Not Missed Appointment"/>
    <s v="NO action required"/>
  </r>
  <r>
    <s v="PT1014"/>
    <s v="James"/>
    <s v="YOUNG"/>
    <x v="1"/>
    <n v="55"/>
    <x v="1"/>
    <n v="12"/>
    <n v="0"/>
    <n v="55"/>
    <x v="1"/>
    <x v="0"/>
    <x v="1"/>
    <n v="5"/>
    <s v="Yes"/>
    <s v="Cardiology"/>
    <n v="2025"/>
    <n v="3"/>
    <s v="Improved"/>
    <x v="1"/>
    <s v="Has Missed Appointment"/>
    <s v="Escalate"/>
  </r>
  <r>
    <s v="PT1015"/>
    <s v="Sophia"/>
    <s v="KING"/>
    <x v="1"/>
    <n v="55"/>
    <x v="1"/>
    <n v="12"/>
    <n v="0"/>
    <n v="55"/>
    <x v="0"/>
    <x v="1"/>
    <x v="0"/>
    <n v="1"/>
    <s v="No"/>
    <s v="Cardiology"/>
    <n v="2025"/>
    <n v="4"/>
    <s v="Improved"/>
    <x v="1"/>
    <s v="Has Not Missed Appointment"/>
    <s v="NO action required"/>
  </r>
  <r>
    <s v="PT1016"/>
    <s v="Matthew"/>
    <s v="WRIGHT"/>
    <x v="1"/>
    <n v="55"/>
    <x v="1"/>
    <n v="12"/>
    <n v="0"/>
    <n v="55"/>
    <x v="0"/>
    <x v="1"/>
    <x v="0"/>
    <n v="2"/>
    <s v="No"/>
    <s v="Cardiology"/>
    <n v="2025"/>
    <n v="5"/>
    <s v="Improved"/>
    <x v="1"/>
    <s v="Has Not Missed Appointment"/>
    <s v="NO action required"/>
  </r>
  <r>
    <s v="PT1017"/>
    <s v="Isla"/>
    <s v="LOPEZ"/>
    <x v="1"/>
    <n v="55"/>
    <x v="1"/>
    <n v="12"/>
    <n v="0"/>
    <n v="55"/>
    <x v="1"/>
    <x v="0"/>
    <x v="1"/>
    <n v="3"/>
    <s v="No"/>
    <s v="Cardiology"/>
    <n v="2025"/>
    <n v="6"/>
    <s v="Ongoing"/>
    <x v="1"/>
    <s v="Has Not Missed Appointment"/>
    <s v="NO action required"/>
  </r>
  <r>
    <s v="PT1018"/>
    <s v="Benjamin"/>
    <s v="SCOTT"/>
    <x v="3"/>
    <n v="35"/>
    <x v="3"/>
    <n v="12"/>
    <n v="0"/>
    <n v="35"/>
    <x v="0"/>
    <x v="0"/>
    <x v="1"/>
    <n v="4"/>
    <s v="No"/>
    <s v="Cardiology"/>
    <n v="2025"/>
    <n v="7"/>
    <s v="Improved"/>
    <x v="1"/>
    <s v="Has Not Missed Appointment"/>
    <s v="NO action required"/>
  </r>
  <r>
    <s v="PT1019"/>
    <s v="Amelia"/>
    <s v="ADAMS"/>
    <x v="1"/>
    <n v="55"/>
    <x v="1"/>
    <n v="12"/>
    <n v="0"/>
    <n v="55"/>
    <x v="0"/>
    <x v="0"/>
    <x v="0"/>
    <n v="5"/>
    <s v="No"/>
    <s v="Cardiology"/>
    <n v="2025"/>
    <n v="8"/>
    <s v="Improved"/>
    <x v="0"/>
    <s v="Has Not Missed Appointment"/>
    <s v="NO action required"/>
  </r>
  <r>
    <s v="PT1020"/>
    <s v="Lucas"/>
    <s v="BAKER"/>
    <x v="3"/>
    <n v="35"/>
    <x v="3"/>
    <n v="12"/>
    <n v="0"/>
    <n v="35"/>
    <x v="0"/>
    <x v="0"/>
    <x v="1"/>
    <n v="1"/>
    <s v="No"/>
    <s v="Cardiology"/>
    <n v="2025"/>
    <n v="9"/>
    <s v="Improved"/>
    <x v="1"/>
    <s v="Has Not Missed Appointment"/>
    <s v="NO action required"/>
  </r>
  <r>
    <s v="PT1021"/>
    <s v="Grace"/>
    <s v="NELSON"/>
    <x v="0"/>
    <n v="41"/>
    <x v="0"/>
    <n v="12"/>
    <n v="0"/>
    <n v="41"/>
    <x v="1"/>
    <x v="0"/>
    <x v="0"/>
    <n v="2"/>
    <s v="Yes"/>
    <s v="Cardiology"/>
    <n v="2025"/>
    <n v="10"/>
    <s v="Ongoing"/>
    <x v="1"/>
    <s v="Has Missed Appointment"/>
    <s v="Reminder"/>
  </r>
  <r>
    <s v="PT1022"/>
    <s v="Henry"/>
    <s v="CARTER"/>
    <x v="0"/>
    <n v="41"/>
    <x v="0"/>
    <n v="12"/>
    <n v="0"/>
    <n v="41"/>
    <x v="0"/>
    <x v="0"/>
    <x v="1"/>
    <n v="3"/>
    <s v="No"/>
    <s v="Cardiology"/>
    <n v="2025"/>
    <n v="11"/>
    <s v="Improved"/>
    <x v="1"/>
    <s v="Has Not Missed Appointment"/>
    <s v="NO action required"/>
  </r>
  <r>
    <s v="PT1023"/>
    <s v="Chloe"/>
    <s v="MITCHELL"/>
    <x v="1"/>
    <n v="55"/>
    <x v="1"/>
    <n v="12"/>
    <n v="0"/>
    <n v="55"/>
    <x v="0"/>
    <x v="1"/>
    <x v="0"/>
    <n v="4"/>
    <s v="No"/>
    <s v="Cardiology"/>
    <n v="2025"/>
    <n v="12"/>
    <s v="Improved"/>
    <x v="1"/>
    <s v="Has Not Missed Appointment"/>
    <s v="NO action required"/>
  </r>
  <r>
    <s v="PT1024"/>
    <s v="Noah"/>
    <s v="PEREZ"/>
    <x v="0"/>
    <n v="41"/>
    <x v="0"/>
    <n v="12"/>
    <n v="0"/>
    <n v="41"/>
    <x v="1"/>
    <x v="1"/>
    <x v="0"/>
    <n v="5"/>
    <s v="No"/>
    <s v="Cardiology"/>
    <n v="2025"/>
    <n v="1"/>
    <s v="Improved"/>
    <x v="1"/>
    <s v="Has Not Missed Appointment"/>
    <s v="NO action required"/>
  </r>
  <r>
    <s v="PT1025"/>
    <s v="Ella"/>
    <s v="ROBERTS"/>
    <x v="3"/>
    <n v="35"/>
    <x v="3"/>
    <n v="12"/>
    <n v="0"/>
    <n v="35"/>
    <x v="0"/>
    <x v="0"/>
    <x v="0"/>
    <n v="1"/>
    <s v="No"/>
    <s v="Cardiology"/>
    <n v="2025"/>
    <n v="2"/>
    <s v="Ongoing"/>
    <x v="0"/>
    <s v="Has Not Missed Appointment"/>
    <s v="NO action required"/>
  </r>
  <r>
    <s v="PT1026"/>
    <s v="Samuel"/>
    <s v="TURNER"/>
    <x v="0"/>
    <n v="41"/>
    <x v="0"/>
    <n v="12"/>
    <n v="0"/>
    <n v="41"/>
    <x v="1"/>
    <x v="0"/>
    <x v="0"/>
    <n v="2"/>
    <s v="No"/>
    <s v="Cardiology"/>
    <n v="2025"/>
    <n v="3"/>
    <s v="Improved"/>
    <x v="1"/>
    <s v="Has Not Missed Appointment"/>
    <s v="NO action required"/>
  </r>
  <r>
    <s v="PT1027"/>
    <s v="Mia"/>
    <s v="PHILLIPS"/>
    <x v="2"/>
    <n v="55"/>
    <x v="2"/>
    <n v="12"/>
    <n v="0"/>
    <n v="55"/>
    <x v="1"/>
    <x v="0"/>
    <x v="1"/>
    <n v="3"/>
    <s v="No"/>
    <s v="Cardiology"/>
    <n v="2025"/>
    <n v="4"/>
    <s v="Improved"/>
    <x v="1"/>
    <s v="Has Not Missed Appointment"/>
    <s v="NO action required"/>
  </r>
  <r>
    <s v="PT1028"/>
    <s v="Oliver"/>
    <s v="CAMPBELL"/>
    <x v="0"/>
    <n v="41"/>
    <x v="0"/>
    <n v="12"/>
    <n v="0"/>
    <n v="41"/>
    <x v="0"/>
    <x v="0"/>
    <x v="1"/>
    <n v="4"/>
    <s v="Yes"/>
    <s v="Cardiology"/>
    <n v="2025"/>
    <n v="5"/>
    <s v="Improved"/>
    <x v="1"/>
    <s v="Has Missed Appointment"/>
    <s v="Escalate"/>
  </r>
  <r>
    <s v="PT1029"/>
    <s v="Lily"/>
    <s v="PARKER"/>
    <x v="0"/>
    <n v="41"/>
    <x v="0"/>
    <n v="12"/>
    <n v="0"/>
    <n v="41"/>
    <x v="0"/>
    <x v="1"/>
    <x v="0"/>
    <n v="5"/>
    <s v="No"/>
    <s v="Cardiology"/>
    <n v="2025"/>
    <n v="6"/>
    <s v="Ongoing"/>
    <x v="1"/>
    <s v="Has Not Missed Appointment"/>
    <s v="NO action required"/>
  </r>
  <r>
    <s v="PT1030"/>
    <s v="Ethan"/>
    <s v="EVANS"/>
    <x v="0"/>
    <n v="41"/>
    <x v="0"/>
    <n v="12"/>
    <n v="0"/>
    <n v="41"/>
    <x v="1"/>
    <x v="1"/>
    <x v="1"/>
    <n v="1"/>
    <s v="No"/>
    <s v="Cardiology"/>
    <n v="2025"/>
    <n v="7"/>
    <s v="Improved"/>
    <x v="1"/>
    <s v="Has Not Missed Appointment"/>
    <s v="NO action required"/>
  </r>
  <r>
    <s v="PT1031"/>
    <s v="Zoe"/>
    <s v="EDWARDS"/>
    <x v="3"/>
    <n v="35"/>
    <x v="3"/>
    <n v="12"/>
    <n v="0"/>
    <n v="35"/>
    <x v="0"/>
    <x v="0"/>
    <x v="1"/>
    <n v="2"/>
    <s v="No"/>
    <s v="Cardiology"/>
    <n v="2025"/>
    <n v="8"/>
    <s v="Improved"/>
    <x v="0"/>
    <s v="Has Not Missed Appointment"/>
    <s v="NO action required"/>
  </r>
  <r>
    <s v="PT1032"/>
    <s v="Joshua"/>
    <s v="COLLINS"/>
    <x v="1"/>
    <n v="55"/>
    <x v="1"/>
    <n v="12"/>
    <n v="0"/>
    <n v="55"/>
    <x v="1"/>
    <x v="1"/>
    <x v="0"/>
    <n v="3"/>
    <s v="No"/>
    <s v="Cardiology"/>
    <n v="2025"/>
    <n v="9"/>
    <s v="Improved"/>
    <x v="1"/>
    <s v="Has Not Missed Appointment"/>
    <s v="NO action required"/>
  </r>
  <r>
    <s v="PT1033"/>
    <s v="Ava"/>
    <s v="STEWART"/>
    <x v="0"/>
    <n v="41"/>
    <x v="0"/>
    <n v="12"/>
    <n v="0"/>
    <n v="41"/>
    <x v="1"/>
    <x v="1"/>
    <x v="1"/>
    <n v="4"/>
    <s v="No"/>
    <s v="Cardiology"/>
    <n v="2025"/>
    <n v="10"/>
    <s v="Ongoing"/>
    <x v="1"/>
    <s v="Has Not Missed Appointment"/>
    <s v="NO action required"/>
  </r>
  <r>
    <s v="PT1034"/>
    <s v="Ryan"/>
    <s v="MORRIS"/>
    <x v="0"/>
    <n v="41"/>
    <x v="0"/>
    <n v="12"/>
    <n v="0"/>
    <n v="41"/>
    <x v="1"/>
    <x v="1"/>
    <x v="0"/>
    <n v="5"/>
    <s v="No"/>
    <s v="Cardiology"/>
    <n v="2025"/>
    <n v="11"/>
    <s v="Improved"/>
    <x v="1"/>
    <s v="Has Not Missed Appointment"/>
    <s v="NO action required"/>
  </r>
  <r>
    <s v="PT1035"/>
    <s v="Hannah"/>
    <s v="ROGERS"/>
    <x v="1"/>
    <n v="55"/>
    <x v="1"/>
    <n v="12"/>
    <n v="0"/>
    <n v="55"/>
    <x v="0"/>
    <x v="1"/>
    <x v="1"/>
    <n v="1"/>
    <s v="Yes"/>
    <s v="Cardiology"/>
    <n v="2025"/>
    <n v="12"/>
    <s v="Improved"/>
    <x v="1"/>
    <s v="Has Missed Appointment"/>
    <s v="Remin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85CB7-A159-4308-91FA-37B7D3B087D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numFmtId="14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CC393-B0D8-4312-A847-77236A8E17D0}" name="Table46" displayName="Table46" ref="A3:O38" totalsRowShown="0">
  <autoFilter ref="A3:O38" xr:uid="{B5E33AA9-D9A2-429B-AA7C-2FD5D18346FC}"/>
  <tableColumns count="15">
    <tableColumn id="1" xr3:uid="{8F5C1AB7-35B5-4DD9-A912-543D4813B15F}" name=" Patient ID "/>
    <tableColumn id="2" xr3:uid="{4959FAA9-3525-4E84-8341-6CD76C2370DC}" name="Full"/>
    <tableColumn id="3" xr3:uid="{124AA2F9-25B4-498C-B2FC-BC900B2A27D5}" name="Name"/>
    <tableColumn id="4" xr3:uid="{48870059-5BFE-459C-B66D-FA7420674D3E}" name="DOB" dataDxfId="12"/>
    <tableColumn id="5" xr3:uid="{94DFE3E0-99B1-4DFE-99B2-BE9CDF7F2C06}" name="Gender"/>
    <tableColumn id="6" xr3:uid="{8F2FC655-C4BF-4F45-AD00-3983C905B266}" name="GP"/>
    <tableColumn id="7" xr3:uid="{A0A3FE58-7ACF-42D8-925F-5EB0CB9791BB}" name="On Meds?"/>
    <tableColumn id="8" xr3:uid="{FA353AF0-A61A-432E-BC95-4025A944BE9D}" name="Appt Count"/>
    <tableColumn id="9" xr3:uid="{342B1D06-D0E2-4A15-A6BF-76851725164F}" name="DNA"/>
    <tableColumn id="10" xr3:uid="{5130BDF1-00A0-4AD3-88F5-757D93202442}" name="Dept"/>
    <tableColumn id="11" xr3:uid="{9AE9801E-2FF0-4605-BDD9-D1A34FB10B7C}" name="Year"/>
    <tableColumn id="12" xr3:uid="{7353B3EE-CA22-4DF5-942D-06BA86579F04}" name="Month"/>
    <tableColumn id="13" xr3:uid="{6759A76F-2370-429F-A221-1B39DE7EDAED}" name="Outcome"/>
    <tableColumn id="14" xr3:uid="{279255DA-7390-40DD-AF88-F66DB9AE3477}" name="Follow Up"/>
    <tableColumn id="19" xr3:uid="{531A00A7-741B-4C81-A98E-FE543B4BD1E7}" name="Attendance Status" dataDxfId="11">
      <calculatedColumnFormula>IF(Table46[[#This Row],[DNA]]="Yes","Has Missed Appt","Has not missed Appt")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F5D5AF-A45C-4D23-B4A4-503C1E6FEB22}" name="Table469" displayName="Table469" ref="A3:U38" totalsRowShown="0" headerRowDxfId="10">
  <autoFilter ref="A3:U38" xr:uid="{B5E33AA9-D9A2-429B-AA7C-2FD5D18346FC}"/>
  <tableColumns count="21">
    <tableColumn id="1" xr3:uid="{E49B65D3-9D8E-4970-A9E8-04AD52D3536D}" name=" Patient ID "/>
    <tableColumn id="2" xr3:uid="{53ABDA53-1F6E-4A87-992E-682D736DA281}" name="Full"/>
    <tableColumn id="3" xr3:uid="{02E1E92D-4FD4-47F0-B434-6123D523CEED}" name="Name"/>
    <tableColumn id="4" xr3:uid="{F682434D-A6B5-4924-BC14-D70EB3D5B83B}" name="DOB" dataDxfId="9"/>
    <tableColumn id="23" xr3:uid="{72A21E61-FDA7-48E0-BB2F-8A41BF1B83D9}" name="Simple Age" dataDxfId="8">
      <calculatedColumnFormula>YEAR(TODAY()) - YEAR(Table469[[#This Row],[DOB]])</calculatedColumnFormula>
    </tableColumn>
    <tableColumn id="20" xr3:uid="{21A58180-7406-4E4C-AB07-2C237724DABB}" name="Birth Month" dataDxfId="7">
      <calculatedColumnFormula>MONTH(Table469[[#This Row],[DOB]])</calculatedColumnFormula>
    </tableColumn>
    <tableColumn id="25" xr3:uid="{85AE96F9-A575-401D-B5C5-635B7EC0DFA3}" name="Current Month" dataDxfId="6">
      <calculatedColumnFormula>MONTH(TODAY())</calculatedColumnFormula>
    </tableColumn>
    <tableColumn id="21" xr3:uid="{A7CD2952-1629-454C-8DCC-17F526FEBED8}" name="Calculated Age" dataDxfId="5">
      <calculatedColumnFormula>IF(Table469[[#This Row],[Birth Month]]&lt;Table469[[#This Row],[Current Month]],0,-1)</calculatedColumnFormula>
    </tableColumn>
    <tableColumn id="26" xr3:uid="{C8BACC46-6D05-48DC-87A4-16C18F7948BF}" name="Calculated Age2" dataDxfId="4"/>
    <tableColumn id="5" xr3:uid="{7D9EDD0A-C071-4598-BE75-C7AD65B5FD06}" name="Gender"/>
    <tableColumn id="6" xr3:uid="{5F516E8D-5EB6-48DE-A7F8-A23E04951C58}" name="GP"/>
    <tableColumn id="7" xr3:uid="{6E311AC3-9F89-43C9-81BC-D4D548A1B31C}" name="On Meds?"/>
    <tableColumn id="8" xr3:uid="{13424339-47CD-425A-84FD-D44F5975B002}" name="Appt Count"/>
    <tableColumn id="9" xr3:uid="{F6F815C7-030B-4D19-984F-886B69E8771C}" name="DNA"/>
    <tableColumn id="10" xr3:uid="{979E981A-BF19-4350-85DC-6BC2C1233FA2}" name="Dept"/>
    <tableColumn id="11" xr3:uid="{1ADCE9D5-7051-4586-804F-B3753EFC8847}" name="Year"/>
    <tableColumn id="12" xr3:uid="{886EDEBA-AE46-49DA-B105-4D5E877207C7}" name="Month"/>
    <tableColumn id="13" xr3:uid="{EB2CEA37-ADAE-4324-88F1-B48E6BFF89ED}" name="Outcome"/>
    <tableColumn id="14" xr3:uid="{C6623F14-441E-4A45-B41D-1CE956A593BC}" name="Follow Up"/>
    <tableColumn id="19" xr3:uid="{B6928144-F8C3-4EF9-A3B3-9F8C741C9CE1}" name="Attendance Status" dataDxfId="3">
      <calculatedColumnFormula>IF(Table469[[#This Row],[DNA]]="Yes","Has Missed Appointment","Has Not Missed Appointment")</calculatedColumnFormula>
    </tableColumn>
    <tableColumn id="24" xr3:uid="{C610BB5F-E4FA-4841-888D-9EF28367A476}" name="Follow Up action" dataDxfId="2">
      <calculatedColumnFormula array="1">_xlfn.IFS(Table469[[#This Row],[Calculated Age2]]&lt;18,"Safeguarding",AND(Table469[[#This Row],[DNA]]="Yes",Table469[[#This Row],[Appt Count]]&gt;=3),"Escalate",Table469[[#This Row],[DNA]] = "Yes","Reminder",TRUE,"NO action required")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33AA9-D9A2-429B-AA7C-2FD5D18346FC}" name="Table4" displayName="Table4" ref="A1:N36" totalsRowShown="0">
  <autoFilter ref="A1:N36" xr:uid="{B5E33AA9-D9A2-429B-AA7C-2FD5D18346FC}"/>
  <tableColumns count="14">
    <tableColumn id="1" xr3:uid="{5B020FD3-EF60-4470-AEA2-4006477865ED}" name=" Patient ID "/>
    <tableColumn id="2" xr3:uid="{DB19BDB4-A1B8-4313-9DD2-2D054537970E}" name="Full"/>
    <tableColumn id="3" xr3:uid="{6F5510CF-F775-43C4-9EC5-ED1FB2B68046}" name="Name"/>
    <tableColumn id="4" xr3:uid="{40CB1A28-2F3E-45E6-AA67-BB3063BF07DE}" name="Date of Birth"/>
    <tableColumn id="5" xr3:uid="{F976B0CE-5D3B-4FB0-B151-91434D90F045}" name="Gender"/>
    <tableColumn id="6" xr3:uid="{46A8A14F-1D19-4F71-9002-26853A610307}" name="GP"/>
    <tableColumn id="7" xr3:uid="{EFB3B488-2D9F-40B8-9E43-BD520B9E32F3}" name="On Medication"/>
    <tableColumn id="8" xr3:uid="{3C80178E-9907-4773-A584-DD07A337EFA7}" name="Appointment Count"/>
    <tableColumn id="9" xr3:uid="{22C73726-148C-44BE-B05E-1FD06FD37D58}" name="DNA"/>
    <tableColumn id="10" xr3:uid="{20C6AD1E-AFB9-4F43-A061-385A8D8698A5}" name="Department"/>
    <tableColumn id="11" xr3:uid="{BC127BFC-34DE-4E5A-BCDF-3A19ACC169BF}" name="Year"/>
    <tableColumn id="12" xr3:uid="{E6622A2B-DDB2-4187-B287-0C33B3F7373B}" name="Month"/>
    <tableColumn id="13" xr3:uid="{D067AEFD-03C2-40CB-B2D6-23A8F400C36F}" name="Outcome"/>
    <tableColumn id="14" xr3:uid="{E24EBDC1-66E1-495B-8D25-8018DB99750F}" name="Follow Up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0BBC-64E8-48F4-BC1E-787BBAED8270}">
  <dimension ref="A1:S38"/>
  <sheetViews>
    <sheetView topLeftCell="A2" zoomScale="115" zoomScaleNormal="115" workbookViewId="0">
      <selection activeCell="S12" sqref="S12"/>
    </sheetView>
  </sheetViews>
  <sheetFormatPr defaultRowHeight="15" x14ac:dyDescent="0.25"/>
  <cols>
    <col min="1" max="1" width="12.85546875" customWidth="1"/>
    <col min="4" max="4" width="10.42578125" style="1" bestFit="1" customWidth="1"/>
    <col min="5" max="5" width="9.85546875" customWidth="1"/>
    <col min="7" max="7" width="12.140625" bestFit="1" customWidth="1"/>
    <col min="8" max="8" width="12.42578125" customWidth="1"/>
    <col min="10" max="10" width="10.42578125" bestFit="1" customWidth="1"/>
    <col min="13" max="13" width="11.42578125" customWidth="1"/>
    <col min="14" max="14" width="12" bestFit="1" customWidth="1"/>
    <col min="15" max="15" width="27" bestFit="1" customWidth="1"/>
    <col min="16" max="16" width="3.7109375" customWidth="1"/>
  </cols>
  <sheetData>
    <row r="1" spans="1:19" ht="36" x14ac:dyDescent="0.55000000000000004">
      <c r="A1" s="10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9" x14ac:dyDescent="0.25">
      <c r="A3" t="s">
        <v>44</v>
      </c>
      <c r="B3" t="s">
        <v>52</v>
      </c>
      <c r="C3" t="s">
        <v>53</v>
      </c>
      <c r="D3" s="1" t="s">
        <v>132</v>
      </c>
      <c r="E3" t="s">
        <v>46</v>
      </c>
      <c r="F3" t="s">
        <v>47</v>
      </c>
      <c r="G3" t="s">
        <v>133</v>
      </c>
      <c r="H3" t="s">
        <v>131</v>
      </c>
      <c r="I3" t="s">
        <v>128</v>
      </c>
      <c r="J3" t="s">
        <v>134</v>
      </c>
      <c r="K3" t="s">
        <v>38</v>
      </c>
      <c r="L3" t="s">
        <v>39</v>
      </c>
      <c r="M3" t="s">
        <v>41</v>
      </c>
      <c r="N3" t="s">
        <v>135</v>
      </c>
      <c r="O3" t="s">
        <v>137</v>
      </c>
    </row>
    <row r="4" spans="1:19" x14ac:dyDescent="0.25">
      <c r="A4" t="s">
        <v>0</v>
      </c>
      <c r="B4" t="s">
        <v>78</v>
      </c>
      <c r="C4" t="s">
        <v>100</v>
      </c>
      <c r="D4" s="1">
        <v>30814</v>
      </c>
      <c r="E4" t="s">
        <v>49</v>
      </c>
      <c r="F4" t="s">
        <v>50</v>
      </c>
      <c r="G4" t="s">
        <v>126</v>
      </c>
      <c r="H4">
        <v>2</v>
      </c>
      <c r="I4" t="s">
        <v>1</v>
      </c>
      <c r="J4" t="s">
        <v>40</v>
      </c>
      <c r="K4">
        <v>2025</v>
      </c>
      <c r="L4">
        <v>2</v>
      </c>
      <c r="M4" t="s">
        <v>42</v>
      </c>
      <c r="N4" t="s">
        <v>8</v>
      </c>
      <c r="O4" t="str">
        <f>IF(Table46[[#This Row],[DNA]]="Yes","Has Missed Appt","Has not missed Appt")</f>
        <v>Has not missed Appt</v>
      </c>
      <c r="Q4">
        <f>COUNTA(Table46[[ Patient ID ]])</f>
        <v>35</v>
      </c>
    </row>
    <row r="5" spans="1:19" x14ac:dyDescent="0.25">
      <c r="A5" t="s">
        <v>2</v>
      </c>
      <c r="B5" t="s">
        <v>54</v>
      </c>
      <c r="C5" t="s">
        <v>101</v>
      </c>
      <c r="D5" s="1">
        <v>25720</v>
      </c>
      <c r="E5" t="s">
        <v>49</v>
      </c>
      <c r="F5" t="s">
        <v>124</v>
      </c>
      <c r="G5" t="s">
        <v>126</v>
      </c>
      <c r="H5">
        <v>3</v>
      </c>
      <c r="I5" t="s">
        <v>1</v>
      </c>
      <c r="J5" t="s">
        <v>40</v>
      </c>
      <c r="K5">
        <v>2025</v>
      </c>
      <c r="L5">
        <v>3</v>
      </c>
      <c r="M5" t="s">
        <v>43</v>
      </c>
      <c r="N5" t="s">
        <v>1</v>
      </c>
      <c r="O5" t="str">
        <f>IF(Table46[[#This Row],[DNA]]="Yes","Has Missed Appt","Has not missed Appt")</f>
        <v>Has not missed Appt</v>
      </c>
      <c r="Q5">
        <f>SUM(Table46[Appt Count])</f>
        <v>105</v>
      </c>
    </row>
    <row r="6" spans="1:19" x14ac:dyDescent="0.25">
      <c r="A6" t="s">
        <v>3</v>
      </c>
      <c r="B6" t="s">
        <v>55</v>
      </c>
      <c r="C6" t="s">
        <v>102</v>
      </c>
      <c r="D6" s="1">
        <v>25720</v>
      </c>
      <c r="E6" t="s">
        <v>51</v>
      </c>
      <c r="F6" t="s">
        <v>124</v>
      </c>
      <c r="G6" t="s">
        <v>126</v>
      </c>
      <c r="H6">
        <v>4</v>
      </c>
      <c r="I6" t="s">
        <v>1</v>
      </c>
      <c r="J6" t="s">
        <v>40</v>
      </c>
      <c r="K6">
        <v>2025</v>
      </c>
      <c r="L6">
        <v>4</v>
      </c>
      <c r="M6" t="s">
        <v>43</v>
      </c>
      <c r="N6" t="s">
        <v>1</v>
      </c>
      <c r="O6" t="str">
        <f>IF(Table46[[#This Row],[DNA]]="Yes","Has Missed Appt","Has not missed Appt")</f>
        <v>Has not missed Appt</v>
      </c>
      <c r="Q6">
        <f>AVERAGE(Table46[Appt Count])</f>
        <v>3</v>
      </c>
    </row>
    <row r="7" spans="1:19" x14ac:dyDescent="0.25">
      <c r="A7" t="s">
        <v>4</v>
      </c>
      <c r="B7" t="s">
        <v>56</v>
      </c>
      <c r="C7" t="s">
        <v>103</v>
      </c>
      <c r="D7" s="1">
        <v>25720</v>
      </c>
      <c r="E7" t="s">
        <v>51</v>
      </c>
      <c r="F7" t="s">
        <v>50</v>
      </c>
      <c r="G7" t="s">
        <v>126</v>
      </c>
      <c r="H7">
        <v>5</v>
      </c>
      <c r="I7" t="s">
        <v>1</v>
      </c>
      <c r="J7" t="s">
        <v>40</v>
      </c>
      <c r="K7">
        <v>2025</v>
      </c>
      <c r="L7">
        <v>5</v>
      </c>
      <c r="M7" t="s">
        <v>43</v>
      </c>
      <c r="N7" t="s">
        <v>1</v>
      </c>
      <c r="O7" t="str">
        <f>IF(Table46[[#This Row],[DNA]]="Yes","Has Missed Appt","Has not missed Appt")</f>
        <v>Has not missed Appt</v>
      </c>
    </row>
    <row r="8" spans="1:19" x14ac:dyDescent="0.25">
      <c r="A8" t="s">
        <v>5</v>
      </c>
      <c r="B8" t="s">
        <v>57</v>
      </c>
      <c r="C8" t="s">
        <v>104</v>
      </c>
      <c r="D8" s="1">
        <v>30814</v>
      </c>
      <c r="E8" t="s">
        <v>49</v>
      </c>
      <c r="F8" t="s">
        <v>50</v>
      </c>
      <c r="G8" t="s">
        <v>126</v>
      </c>
      <c r="H8">
        <v>1</v>
      </c>
      <c r="I8" t="s">
        <v>1</v>
      </c>
      <c r="J8" t="s">
        <v>40</v>
      </c>
      <c r="K8">
        <v>2025</v>
      </c>
      <c r="L8">
        <v>6</v>
      </c>
      <c r="M8" t="s">
        <v>42</v>
      </c>
      <c r="N8" t="s">
        <v>1</v>
      </c>
      <c r="O8" t="str">
        <f>IF(Table46[[#This Row],[DNA]]="Yes","Has Missed Appt","Has not missed Appt")</f>
        <v>Has not missed Appt</v>
      </c>
      <c r="Q8">
        <f>COUNTIF(Table46[DNA],"Yes")</f>
        <v>5</v>
      </c>
    </row>
    <row r="9" spans="1:19" x14ac:dyDescent="0.25">
      <c r="A9" t="s">
        <v>6</v>
      </c>
      <c r="B9" t="s">
        <v>79</v>
      </c>
      <c r="C9" t="s">
        <v>105</v>
      </c>
      <c r="D9" s="1">
        <v>25720</v>
      </c>
      <c r="E9" t="s">
        <v>51</v>
      </c>
      <c r="F9" t="s">
        <v>50</v>
      </c>
      <c r="G9" t="s">
        <v>126</v>
      </c>
      <c r="H9">
        <v>2</v>
      </c>
      <c r="I9" t="s">
        <v>1</v>
      </c>
      <c r="J9" t="s">
        <v>40</v>
      </c>
      <c r="K9">
        <v>2025</v>
      </c>
      <c r="L9">
        <v>7</v>
      </c>
      <c r="M9" t="s">
        <v>43</v>
      </c>
      <c r="N9" t="s">
        <v>1</v>
      </c>
      <c r="O9" t="str">
        <f>IF(Table46[[#This Row],[DNA]]="Yes","Has Missed Appt","Has not missed Appt")</f>
        <v>Has not missed Appt</v>
      </c>
    </row>
    <row r="10" spans="1:19" x14ac:dyDescent="0.25">
      <c r="A10" t="s">
        <v>7</v>
      </c>
      <c r="B10" t="s">
        <v>80</v>
      </c>
      <c r="C10" t="s">
        <v>58</v>
      </c>
      <c r="D10" s="1">
        <v>25720</v>
      </c>
      <c r="E10" t="s">
        <v>49</v>
      </c>
      <c r="F10" t="s">
        <v>50</v>
      </c>
      <c r="G10" t="s">
        <v>125</v>
      </c>
      <c r="H10">
        <v>3</v>
      </c>
      <c r="I10" t="s">
        <v>8</v>
      </c>
      <c r="J10" t="s">
        <v>40</v>
      </c>
      <c r="K10">
        <v>2025</v>
      </c>
      <c r="L10">
        <v>8</v>
      </c>
      <c r="M10" t="s">
        <v>43</v>
      </c>
      <c r="N10" t="s">
        <v>8</v>
      </c>
      <c r="O10" t="str">
        <f>IF(Table46[[#This Row],[DNA]]="Yes","Has Missed Appt","Has not missed Appt")</f>
        <v>Has Missed Appt</v>
      </c>
      <c r="Q10" t="s">
        <v>49</v>
      </c>
      <c r="R10">
        <f>SUMIF(Table46[Gender],"M",Table46[Appt Count])</f>
        <v>54</v>
      </c>
      <c r="S10">
        <f>AVERAGEIF(Table46[Gender],"M",Table46[Appt Count])</f>
        <v>2.8421052631578947</v>
      </c>
    </row>
    <row r="11" spans="1:19" x14ac:dyDescent="0.25">
      <c r="A11" t="s">
        <v>9</v>
      </c>
      <c r="B11" t="s">
        <v>81</v>
      </c>
      <c r="C11" t="s">
        <v>59</v>
      </c>
      <c r="D11" s="1">
        <v>25574</v>
      </c>
      <c r="E11" t="s">
        <v>51</v>
      </c>
      <c r="F11" t="s">
        <v>50</v>
      </c>
      <c r="G11" t="s">
        <v>126</v>
      </c>
      <c r="H11">
        <v>4</v>
      </c>
      <c r="I11" t="s">
        <v>1</v>
      </c>
      <c r="J11" t="s">
        <v>40</v>
      </c>
      <c r="K11">
        <v>2025</v>
      </c>
      <c r="L11">
        <v>9</v>
      </c>
      <c r="M11" t="s">
        <v>43</v>
      </c>
      <c r="N11" t="s">
        <v>1</v>
      </c>
      <c r="O11" t="str">
        <f>IF(Table46[[#This Row],[DNA]]="Yes","Has Missed Appt","Has not missed Appt")</f>
        <v>Has not missed Appt</v>
      </c>
      <c r="Q11" t="s">
        <v>51</v>
      </c>
      <c r="R11">
        <f>SUMIF(Table46[Gender],"F",Table46[Appt Count])</f>
        <v>51</v>
      </c>
      <c r="S11">
        <f>AVERAGEIF(Table46[Gender],"F",Table46[Appt Count])</f>
        <v>3.1875</v>
      </c>
    </row>
    <row r="12" spans="1:19" x14ac:dyDescent="0.25">
      <c r="A12" t="s">
        <v>10</v>
      </c>
      <c r="B12" t="s">
        <v>60</v>
      </c>
      <c r="C12" t="s">
        <v>106</v>
      </c>
      <c r="D12" s="1">
        <v>30814</v>
      </c>
      <c r="E12" t="s">
        <v>49</v>
      </c>
      <c r="F12" t="s">
        <v>124</v>
      </c>
      <c r="G12" t="s">
        <v>125</v>
      </c>
      <c r="H12">
        <v>5</v>
      </c>
      <c r="I12" t="s">
        <v>1</v>
      </c>
      <c r="J12" t="s">
        <v>40</v>
      </c>
      <c r="K12">
        <v>2025</v>
      </c>
      <c r="L12">
        <v>10</v>
      </c>
      <c r="M12" t="s">
        <v>42</v>
      </c>
      <c r="N12" t="s">
        <v>1</v>
      </c>
      <c r="O12" t="str">
        <f>IF(Table46[[#This Row],[DNA]]="Yes","Has Missed Appt","Has not missed Appt")</f>
        <v>Has not missed Appt</v>
      </c>
    </row>
    <row r="13" spans="1:19" x14ac:dyDescent="0.25">
      <c r="A13" t="s">
        <v>11</v>
      </c>
      <c r="B13" t="s">
        <v>61</v>
      </c>
      <c r="C13" t="s">
        <v>107</v>
      </c>
      <c r="D13" s="1">
        <v>33200</v>
      </c>
      <c r="E13" t="s">
        <v>51</v>
      </c>
      <c r="F13" t="s">
        <v>124</v>
      </c>
      <c r="G13" t="s">
        <v>125</v>
      </c>
      <c r="H13">
        <v>1</v>
      </c>
      <c r="I13" t="s">
        <v>1</v>
      </c>
      <c r="J13" t="s">
        <v>40</v>
      </c>
      <c r="K13">
        <v>2025</v>
      </c>
      <c r="L13">
        <v>11</v>
      </c>
      <c r="M13" t="s">
        <v>43</v>
      </c>
      <c r="N13" t="s">
        <v>1</v>
      </c>
      <c r="O13" t="str">
        <f>IF(Table46[[#This Row],[DNA]]="Yes","Has Missed Appt","Has not missed Appt")</f>
        <v>Has not missed Appt</v>
      </c>
    </row>
    <row r="14" spans="1:19" x14ac:dyDescent="0.25">
      <c r="A14" t="s">
        <v>12</v>
      </c>
      <c r="B14" t="s">
        <v>82</v>
      </c>
      <c r="C14" t="s">
        <v>62</v>
      </c>
      <c r="D14" s="1">
        <v>33200</v>
      </c>
      <c r="E14" t="s">
        <v>51</v>
      </c>
      <c r="F14" t="s">
        <v>50</v>
      </c>
      <c r="G14" t="s">
        <v>126</v>
      </c>
      <c r="H14">
        <v>2</v>
      </c>
      <c r="I14" t="s">
        <v>1</v>
      </c>
      <c r="J14" t="s">
        <v>40</v>
      </c>
      <c r="K14">
        <v>2025</v>
      </c>
      <c r="L14">
        <v>12</v>
      </c>
      <c r="M14" t="s">
        <v>43</v>
      </c>
      <c r="N14" t="s">
        <v>1</v>
      </c>
      <c r="O14" t="str">
        <f>IF(Table46[[#This Row],[DNA]]="Yes","Has Missed Appt","Has not missed Appt")</f>
        <v>Has not missed Appt</v>
      </c>
    </row>
    <row r="15" spans="1:19" x14ac:dyDescent="0.25">
      <c r="A15" t="s">
        <v>13</v>
      </c>
      <c r="B15" t="s">
        <v>83</v>
      </c>
      <c r="C15" t="s">
        <v>108</v>
      </c>
      <c r="D15" s="1">
        <v>30814</v>
      </c>
      <c r="E15" t="s">
        <v>49</v>
      </c>
      <c r="F15" t="s">
        <v>50</v>
      </c>
      <c r="G15" t="s">
        <v>126</v>
      </c>
      <c r="H15">
        <v>3</v>
      </c>
      <c r="I15" t="s">
        <v>1</v>
      </c>
      <c r="J15" t="s">
        <v>40</v>
      </c>
      <c r="K15">
        <v>2025</v>
      </c>
      <c r="L15">
        <v>1</v>
      </c>
      <c r="M15" t="s">
        <v>43</v>
      </c>
      <c r="N15" t="s">
        <v>1</v>
      </c>
      <c r="O15" t="str">
        <f>IF(Table46[[#This Row],[DNA]]="Yes","Has Missed Appt","Has not missed Appt")</f>
        <v>Has not missed Appt</v>
      </c>
    </row>
    <row r="16" spans="1:19" x14ac:dyDescent="0.25">
      <c r="A16" t="s">
        <v>14</v>
      </c>
      <c r="B16" t="s">
        <v>63</v>
      </c>
      <c r="C16" t="s">
        <v>109</v>
      </c>
      <c r="D16" s="1">
        <v>25720</v>
      </c>
      <c r="E16" t="s">
        <v>49</v>
      </c>
      <c r="F16" t="s">
        <v>50</v>
      </c>
      <c r="G16" t="s">
        <v>125</v>
      </c>
      <c r="H16">
        <v>4</v>
      </c>
      <c r="I16" t="s">
        <v>1</v>
      </c>
      <c r="J16" t="s">
        <v>40</v>
      </c>
      <c r="K16">
        <v>2025</v>
      </c>
      <c r="L16">
        <v>2</v>
      </c>
      <c r="M16" t="s">
        <v>42</v>
      </c>
      <c r="N16" t="s">
        <v>8</v>
      </c>
      <c r="O16" t="str">
        <f>IF(Table46[[#This Row],[DNA]]="Yes","Has Missed Appt","Has not missed Appt")</f>
        <v>Has not missed Appt</v>
      </c>
    </row>
    <row r="17" spans="1:15" x14ac:dyDescent="0.25">
      <c r="A17" t="s">
        <v>15</v>
      </c>
      <c r="B17" t="s">
        <v>84</v>
      </c>
      <c r="C17" t="s">
        <v>110</v>
      </c>
      <c r="D17" s="1">
        <v>25720</v>
      </c>
      <c r="E17" t="s">
        <v>51</v>
      </c>
      <c r="F17" t="s">
        <v>50</v>
      </c>
      <c r="G17" t="s">
        <v>125</v>
      </c>
      <c r="H17">
        <v>5</v>
      </c>
      <c r="I17" t="s">
        <v>8</v>
      </c>
      <c r="J17" t="s">
        <v>40</v>
      </c>
      <c r="K17">
        <v>2025</v>
      </c>
      <c r="L17">
        <v>3</v>
      </c>
      <c r="M17" t="s">
        <v>43</v>
      </c>
      <c r="N17" t="s">
        <v>1</v>
      </c>
      <c r="O17" t="str">
        <f>IF(Table46[[#This Row],[DNA]]="Yes","Has Missed Appt","Has not missed Appt")</f>
        <v>Has Missed Appt</v>
      </c>
    </row>
    <row r="18" spans="1:15" x14ac:dyDescent="0.25">
      <c r="A18" t="s">
        <v>16</v>
      </c>
      <c r="B18" t="s">
        <v>85</v>
      </c>
      <c r="C18" t="s">
        <v>64</v>
      </c>
      <c r="D18" s="1">
        <v>25720</v>
      </c>
      <c r="E18" t="s">
        <v>49</v>
      </c>
      <c r="F18" t="s">
        <v>124</v>
      </c>
      <c r="G18" t="s">
        <v>126</v>
      </c>
      <c r="H18">
        <v>1</v>
      </c>
      <c r="I18" t="s">
        <v>1</v>
      </c>
      <c r="J18" t="s">
        <v>40</v>
      </c>
      <c r="K18">
        <v>2025</v>
      </c>
      <c r="L18">
        <v>4</v>
      </c>
      <c r="M18" t="s">
        <v>43</v>
      </c>
      <c r="N18" t="s">
        <v>1</v>
      </c>
      <c r="O18" t="str">
        <f>IF(Table46[[#This Row],[DNA]]="Yes","Has Missed Appt","Has not missed Appt")</f>
        <v>Has not missed Appt</v>
      </c>
    </row>
    <row r="19" spans="1:15" x14ac:dyDescent="0.25">
      <c r="A19" t="s">
        <v>17</v>
      </c>
      <c r="B19" t="s">
        <v>86</v>
      </c>
      <c r="C19" t="s">
        <v>65</v>
      </c>
      <c r="D19" s="1">
        <v>25720</v>
      </c>
      <c r="E19" t="s">
        <v>49</v>
      </c>
      <c r="F19" t="s">
        <v>124</v>
      </c>
      <c r="G19" t="s">
        <v>126</v>
      </c>
      <c r="H19">
        <v>2</v>
      </c>
      <c r="I19" t="s">
        <v>1</v>
      </c>
      <c r="J19" t="s">
        <v>40</v>
      </c>
      <c r="K19">
        <v>2025</v>
      </c>
      <c r="L19">
        <v>5</v>
      </c>
      <c r="M19" t="s">
        <v>43</v>
      </c>
      <c r="N19" t="s">
        <v>1</v>
      </c>
      <c r="O19" t="str">
        <f>IF(Table46[[#This Row],[DNA]]="Yes","Has Missed Appt","Has not missed Appt")</f>
        <v>Has not missed Appt</v>
      </c>
    </row>
    <row r="20" spans="1:15" x14ac:dyDescent="0.25">
      <c r="A20" t="s">
        <v>18</v>
      </c>
      <c r="B20" t="s">
        <v>87</v>
      </c>
      <c r="C20" t="s">
        <v>111</v>
      </c>
      <c r="D20" s="1">
        <v>25720</v>
      </c>
      <c r="E20" t="s">
        <v>51</v>
      </c>
      <c r="F20" t="s">
        <v>50</v>
      </c>
      <c r="G20" t="s">
        <v>125</v>
      </c>
      <c r="H20">
        <v>3</v>
      </c>
      <c r="I20" t="s">
        <v>1</v>
      </c>
      <c r="J20" t="s">
        <v>40</v>
      </c>
      <c r="K20">
        <v>2025</v>
      </c>
      <c r="L20">
        <v>6</v>
      </c>
      <c r="M20" t="s">
        <v>42</v>
      </c>
      <c r="N20" t="s">
        <v>1</v>
      </c>
      <c r="O20" t="str">
        <f>IF(Table46[[#This Row],[DNA]]="Yes","Has Missed Appt","Has not missed Appt")</f>
        <v>Has not missed Appt</v>
      </c>
    </row>
    <row r="21" spans="1:15" x14ac:dyDescent="0.25">
      <c r="A21" t="s">
        <v>19</v>
      </c>
      <c r="B21" t="s">
        <v>88</v>
      </c>
      <c r="C21" t="s">
        <v>112</v>
      </c>
      <c r="D21" s="1">
        <v>33200</v>
      </c>
      <c r="E21" t="s">
        <v>49</v>
      </c>
      <c r="F21" t="s">
        <v>50</v>
      </c>
      <c r="G21" t="s">
        <v>125</v>
      </c>
      <c r="H21">
        <v>4</v>
      </c>
      <c r="I21" t="s">
        <v>1</v>
      </c>
      <c r="J21" t="s">
        <v>40</v>
      </c>
      <c r="K21">
        <v>2025</v>
      </c>
      <c r="L21">
        <v>7</v>
      </c>
      <c r="M21" t="s">
        <v>43</v>
      </c>
      <c r="N21" t="s">
        <v>1</v>
      </c>
      <c r="O21" t="str">
        <f>IF(Table46[[#This Row],[DNA]]="Yes","Has Missed Appt","Has not missed Appt")</f>
        <v>Has not missed Appt</v>
      </c>
    </row>
    <row r="22" spans="1:15" x14ac:dyDescent="0.25">
      <c r="A22" t="s">
        <v>20</v>
      </c>
      <c r="B22" t="s">
        <v>89</v>
      </c>
      <c r="C22" t="s">
        <v>66</v>
      </c>
      <c r="D22" s="1">
        <v>25720</v>
      </c>
      <c r="E22" t="s">
        <v>49</v>
      </c>
      <c r="F22" t="s">
        <v>50</v>
      </c>
      <c r="G22" t="s">
        <v>126</v>
      </c>
      <c r="H22">
        <v>5</v>
      </c>
      <c r="I22" t="s">
        <v>1</v>
      </c>
      <c r="J22" t="s">
        <v>40</v>
      </c>
      <c r="K22">
        <v>2025</v>
      </c>
      <c r="L22">
        <v>8</v>
      </c>
      <c r="M22" t="s">
        <v>43</v>
      </c>
      <c r="N22" t="s">
        <v>8</v>
      </c>
      <c r="O22" t="str">
        <f>IF(Table46[[#This Row],[DNA]]="Yes","Has Missed Appt","Has not missed Appt")</f>
        <v>Has not missed Appt</v>
      </c>
    </row>
    <row r="23" spans="1:15" x14ac:dyDescent="0.25">
      <c r="A23" t="s">
        <v>21</v>
      </c>
      <c r="B23" t="s">
        <v>90</v>
      </c>
      <c r="C23" t="s">
        <v>67</v>
      </c>
      <c r="D23" s="1">
        <v>33200</v>
      </c>
      <c r="E23" t="s">
        <v>49</v>
      </c>
      <c r="F23" t="s">
        <v>50</v>
      </c>
      <c r="G23" t="s">
        <v>125</v>
      </c>
      <c r="H23">
        <v>1</v>
      </c>
      <c r="I23" t="s">
        <v>1</v>
      </c>
      <c r="J23" t="s">
        <v>40</v>
      </c>
      <c r="K23">
        <v>2025</v>
      </c>
      <c r="L23">
        <v>9</v>
      </c>
      <c r="M23" t="s">
        <v>43</v>
      </c>
      <c r="N23" t="s">
        <v>1</v>
      </c>
      <c r="O23" t="str">
        <f>IF(Table46[[#This Row],[DNA]]="Yes","Has Missed Appt","Has not missed Appt")</f>
        <v>Has not missed Appt</v>
      </c>
    </row>
    <row r="24" spans="1:15" x14ac:dyDescent="0.25">
      <c r="A24" t="s">
        <v>22</v>
      </c>
      <c r="B24" t="s">
        <v>91</v>
      </c>
      <c r="C24" t="s">
        <v>113</v>
      </c>
      <c r="D24" s="1">
        <v>30814</v>
      </c>
      <c r="E24" t="s">
        <v>51</v>
      </c>
      <c r="F24" t="s">
        <v>50</v>
      </c>
      <c r="G24" t="s">
        <v>126</v>
      </c>
      <c r="H24">
        <v>2</v>
      </c>
      <c r="I24" t="s">
        <v>8</v>
      </c>
      <c r="J24" t="s">
        <v>40</v>
      </c>
      <c r="K24">
        <v>2025</v>
      </c>
      <c r="L24">
        <v>10</v>
      </c>
      <c r="M24" t="s">
        <v>42</v>
      </c>
      <c r="N24" t="s">
        <v>1</v>
      </c>
      <c r="O24" t="str">
        <f>IF(Table46[[#This Row],[DNA]]="Yes","Has Missed Appt","Has not missed Appt")</f>
        <v>Has Missed Appt</v>
      </c>
    </row>
    <row r="25" spans="1:15" x14ac:dyDescent="0.25">
      <c r="A25" t="s">
        <v>23</v>
      </c>
      <c r="B25" t="s">
        <v>92</v>
      </c>
      <c r="C25" t="s">
        <v>114</v>
      </c>
      <c r="D25" s="1">
        <v>30814</v>
      </c>
      <c r="E25" t="s">
        <v>49</v>
      </c>
      <c r="F25" t="s">
        <v>50</v>
      </c>
      <c r="G25" t="s">
        <v>125</v>
      </c>
      <c r="H25">
        <v>3</v>
      </c>
      <c r="I25" t="s">
        <v>1</v>
      </c>
      <c r="J25" t="s">
        <v>40</v>
      </c>
      <c r="K25">
        <v>2025</v>
      </c>
      <c r="L25">
        <v>11</v>
      </c>
      <c r="M25" t="s">
        <v>43</v>
      </c>
      <c r="N25" t="s">
        <v>1</v>
      </c>
      <c r="O25" t="str">
        <f>IF(Table46[[#This Row],[DNA]]="Yes","Has Missed Appt","Has not missed Appt")</f>
        <v>Has not missed Appt</v>
      </c>
    </row>
    <row r="26" spans="1:15" x14ac:dyDescent="0.25">
      <c r="A26" t="s">
        <v>24</v>
      </c>
      <c r="B26" t="s">
        <v>68</v>
      </c>
      <c r="C26" t="s">
        <v>115</v>
      </c>
      <c r="D26" s="1">
        <v>25720</v>
      </c>
      <c r="E26" t="s">
        <v>49</v>
      </c>
      <c r="F26" t="s">
        <v>124</v>
      </c>
      <c r="G26" t="s">
        <v>126</v>
      </c>
      <c r="H26">
        <v>4</v>
      </c>
      <c r="I26" t="s">
        <v>1</v>
      </c>
      <c r="J26" t="s">
        <v>40</v>
      </c>
      <c r="K26">
        <v>2025</v>
      </c>
      <c r="L26">
        <v>12</v>
      </c>
      <c r="M26" t="s">
        <v>43</v>
      </c>
      <c r="N26" t="s">
        <v>1</v>
      </c>
      <c r="O26" t="str">
        <f>IF(Table46[[#This Row],[DNA]]="Yes","Has Missed Appt","Has not missed Appt")</f>
        <v>Has not missed Appt</v>
      </c>
    </row>
    <row r="27" spans="1:15" x14ac:dyDescent="0.25">
      <c r="A27" t="s">
        <v>25</v>
      </c>
      <c r="B27" t="s">
        <v>69</v>
      </c>
      <c r="C27" t="s">
        <v>116</v>
      </c>
      <c r="D27" s="1">
        <v>30814</v>
      </c>
      <c r="E27" t="s">
        <v>51</v>
      </c>
      <c r="F27" t="s">
        <v>124</v>
      </c>
      <c r="G27" t="s">
        <v>126</v>
      </c>
      <c r="H27">
        <v>5</v>
      </c>
      <c r="I27" t="s">
        <v>1</v>
      </c>
      <c r="J27" t="s">
        <v>40</v>
      </c>
      <c r="K27">
        <v>2025</v>
      </c>
      <c r="L27">
        <v>1</v>
      </c>
      <c r="M27" t="s">
        <v>43</v>
      </c>
      <c r="N27" t="s">
        <v>1</v>
      </c>
      <c r="O27" t="str">
        <f>IF(Table46[[#This Row],[DNA]]="Yes","Has Missed Appt","Has not missed Appt")</f>
        <v>Has not missed Appt</v>
      </c>
    </row>
    <row r="28" spans="1:15" x14ac:dyDescent="0.25">
      <c r="A28" t="s">
        <v>26</v>
      </c>
      <c r="B28" t="s">
        <v>93</v>
      </c>
      <c r="C28" t="s">
        <v>117</v>
      </c>
      <c r="D28" s="1">
        <v>33200</v>
      </c>
      <c r="E28" t="s">
        <v>49</v>
      </c>
      <c r="F28" t="s">
        <v>50</v>
      </c>
      <c r="G28" t="s">
        <v>126</v>
      </c>
      <c r="H28">
        <v>1</v>
      </c>
      <c r="I28" t="s">
        <v>1</v>
      </c>
      <c r="J28" t="s">
        <v>40</v>
      </c>
      <c r="K28">
        <v>2025</v>
      </c>
      <c r="L28">
        <v>2</v>
      </c>
      <c r="M28" t="s">
        <v>42</v>
      </c>
      <c r="N28" t="s">
        <v>8</v>
      </c>
      <c r="O28" t="str">
        <f>IF(Table46[[#This Row],[DNA]]="Yes","Has Missed Appt","Has not missed Appt")</f>
        <v>Has not missed Appt</v>
      </c>
    </row>
    <row r="29" spans="1:15" x14ac:dyDescent="0.25">
      <c r="A29" t="s">
        <v>27</v>
      </c>
      <c r="B29" t="s">
        <v>94</v>
      </c>
      <c r="C29" t="s">
        <v>118</v>
      </c>
      <c r="D29" s="1">
        <v>30814</v>
      </c>
      <c r="E29" t="s">
        <v>51</v>
      </c>
      <c r="F29" t="s">
        <v>50</v>
      </c>
      <c r="G29" t="s">
        <v>126</v>
      </c>
      <c r="H29">
        <v>2</v>
      </c>
      <c r="I29" t="s">
        <v>1</v>
      </c>
      <c r="J29" t="s">
        <v>40</v>
      </c>
      <c r="K29">
        <v>2025</v>
      </c>
      <c r="L29">
        <v>3</v>
      </c>
      <c r="M29" t="s">
        <v>43</v>
      </c>
      <c r="N29" t="s">
        <v>1</v>
      </c>
      <c r="O29" t="str">
        <f>IF(Table46[[#This Row],[DNA]]="Yes","Has Missed Appt","Has not missed Appt")</f>
        <v>Has not missed Appt</v>
      </c>
    </row>
    <row r="30" spans="1:15" x14ac:dyDescent="0.25">
      <c r="A30" t="s">
        <v>28</v>
      </c>
      <c r="B30" t="s">
        <v>70</v>
      </c>
      <c r="C30" t="s">
        <v>119</v>
      </c>
      <c r="D30" s="1">
        <v>25574</v>
      </c>
      <c r="E30" t="s">
        <v>51</v>
      </c>
      <c r="F30" t="s">
        <v>50</v>
      </c>
      <c r="G30" t="s">
        <v>125</v>
      </c>
      <c r="H30">
        <v>3</v>
      </c>
      <c r="I30" t="s">
        <v>1</v>
      </c>
      <c r="J30" t="s">
        <v>40</v>
      </c>
      <c r="K30">
        <v>2025</v>
      </c>
      <c r="L30">
        <v>4</v>
      </c>
      <c r="M30" t="s">
        <v>43</v>
      </c>
      <c r="N30" t="s">
        <v>1</v>
      </c>
      <c r="O30" t="str">
        <f>IF(Table46[[#This Row],[DNA]]="Yes","Has Missed Appt","Has not missed Appt")</f>
        <v>Has not missed Appt</v>
      </c>
    </row>
    <row r="31" spans="1:15" x14ac:dyDescent="0.25">
      <c r="A31" t="s">
        <v>29</v>
      </c>
      <c r="B31" t="s">
        <v>71</v>
      </c>
      <c r="C31" t="s">
        <v>120</v>
      </c>
      <c r="D31" s="1">
        <v>30814</v>
      </c>
      <c r="E31" t="s">
        <v>49</v>
      </c>
      <c r="F31" t="s">
        <v>50</v>
      </c>
      <c r="G31" t="s">
        <v>125</v>
      </c>
      <c r="H31">
        <v>4</v>
      </c>
      <c r="I31" t="s">
        <v>8</v>
      </c>
      <c r="J31" t="s">
        <v>40</v>
      </c>
      <c r="K31">
        <v>2025</v>
      </c>
      <c r="L31">
        <v>5</v>
      </c>
      <c r="M31" t="s">
        <v>43</v>
      </c>
      <c r="N31" t="s">
        <v>1</v>
      </c>
      <c r="O31" t="str">
        <f>IF(Table46[[#This Row],[DNA]]="Yes","Has Missed Appt","Has not missed Appt")</f>
        <v>Has Missed Appt</v>
      </c>
    </row>
    <row r="32" spans="1:15" x14ac:dyDescent="0.25">
      <c r="A32" t="s">
        <v>30</v>
      </c>
      <c r="B32" t="s">
        <v>95</v>
      </c>
      <c r="C32" t="s">
        <v>121</v>
      </c>
      <c r="D32" s="1">
        <v>30814</v>
      </c>
      <c r="E32" t="s">
        <v>49</v>
      </c>
      <c r="F32" t="s">
        <v>124</v>
      </c>
      <c r="G32" t="s">
        <v>126</v>
      </c>
      <c r="H32">
        <v>5</v>
      </c>
      <c r="I32" t="s">
        <v>1</v>
      </c>
      <c r="J32" t="s">
        <v>40</v>
      </c>
      <c r="K32">
        <v>2025</v>
      </c>
      <c r="L32">
        <v>6</v>
      </c>
      <c r="M32" t="s">
        <v>42</v>
      </c>
      <c r="N32" t="s">
        <v>1</v>
      </c>
      <c r="O32" t="str">
        <f>IF(Table46[[#This Row],[DNA]]="Yes","Has Missed Appt","Has not missed Appt")</f>
        <v>Has not missed Appt</v>
      </c>
    </row>
    <row r="33" spans="1:15" x14ac:dyDescent="0.25">
      <c r="A33" t="s">
        <v>31</v>
      </c>
      <c r="B33" t="s">
        <v>96</v>
      </c>
      <c r="C33" t="s">
        <v>72</v>
      </c>
      <c r="D33" s="1">
        <v>30814</v>
      </c>
      <c r="E33" t="s">
        <v>51</v>
      </c>
      <c r="F33" t="s">
        <v>124</v>
      </c>
      <c r="G33" t="s">
        <v>125</v>
      </c>
      <c r="H33">
        <v>1</v>
      </c>
      <c r="I33" t="s">
        <v>1</v>
      </c>
      <c r="J33" t="s">
        <v>40</v>
      </c>
      <c r="K33">
        <v>2025</v>
      </c>
      <c r="L33">
        <v>7</v>
      </c>
      <c r="M33" t="s">
        <v>43</v>
      </c>
      <c r="N33" t="s">
        <v>1</v>
      </c>
      <c r="O33" t="str">
        <f>IF(Table46[[#This Row],[DNA]]="Yes","Has Missed Appt","Has not missed Appt")</f>
        <v>Has not missed Appt</v>
      </c>
    </row>
    <row r="34" spans="1:15" x14ac:dyDescent="0.25">
      <c r="A34" t="s">
        <v>32</v>
      </c>
      <c r="B34" t="s">
        <v>73</v>
      </c>
      <c r="C34" t="s">
        <v>122</v>
      </c>
      <c r="D34" s="1">
        <v>33200</v>
      </c>
      <c r="E34" t="s">
        <v>49</v>
      </c>
      <c r="F34" t="s">
        <v>50</v>
      </c>
      <c r="G34" t="s">
        <v>125</v>
      </c>
      <c r="H34">
        <v>2</v>
      </c>
      <c r="I34" t="s">
        <v>1</v>
      </c>
      <c r="J34" t="s">
        <v>40</v>
      </c>
      <c r="K34">
        <v>2025</v>
      </c>
      <c r="L34">
        <v>8</v>
      </c>
      <c r="M34" t="s">
        <v>43</v>
      </c>
      <c r="N34" t="s">
        <v>8</v>
      </c>
      <c r="O34" t="str">
        <f>IF(Table46[[#This Row],[DNA]]="Yes","Has Missed Appt","Has not missed Appt")</f>
        <v>Has not missed Appt</v>
      </c>
    </row>
    <row r="35" spans="1:15" x14ac:dyDescent="0.25">
      <c r="A35" t="s">
        <v>33</v>
      </c>
      <c r="B35" t="s">
        <v>97</v>
      </c>
      <c r="C35" t="s">
        <v>74</v>
      </c>
      <c r="D35" s="1">
        <v>25720</v>
      </c>
      <c r="E35" t="s">
        <v>51</v>
      </c>
      <c r="F35" t="s">
        <v>124</v>
      </c>
      <c r="G35" t="s">
        <v>126</v>
      </c>
      <c r="H35">
        <v>3</v>
      </c>
      <c r="I35" t="s">
        <v>1</v>
      </c>
      <c r="J35" t="s">
        <v>40</v>
      </c>
      <c r="K35">
        <v>2025</v>
      </c>
      <c r="L35">
        <v>9</v>
      </c>
      <c r="M35" t="s">
        <v>43</v>
      </c>
      <c r="N35" t="s">
        <v>1</v>
      </c>
      <c r="O35" t="str">
        <f>IF(Table46[[#This Row],[DNA]]="Yes","Has Missed Appt","Has not missed Appt")</f>
        <v>Has not missed Appt</v>
      </c>
    </row>
    <row r="36" spans="1:15" x14ac:dyDescent="0.25">
      <c r="A36" t="s">
        <v>34</v>
      </c>
      <c r="B36" t="s">
        <v>75</v>
      </c>
      <c r="C36" t="s">
        <v>123</v>
      </c>
      <c r="D36" s="1">
        <v>30814</v>
      </c>
      <c r="E36" t="s">
        <v>51</v>
      </c>
      <c r="F36" t="s">
        <v>124</v>
      </c>
      <c r="G36" t="s">
        <v>125</v>
      </c>
      <c r="H36">
        <v>4</v>
      </c>
      <c r="I36" t="s">
        <v>1</v>
      </c>
      <c r="J36" t="s">
        <v>40</v>
      </c>
      <c r="K36">
        <v>2025</v>
      </c>
      <c r="L36">
        <v>10</v>
      </c>
      <c r="M36" t="s">
        <v>42</v>
      </c>
      <c r="N36" t="s">
        <v>1</v>
      </c>
      <c r="O36" t="str">
        <f>IF(Table46[[#This Row],[DNA]]="Yes","Has Missed Appt","Has not missed Appt")</f>
        <v>Has not missed Appt</v>
      </c>
    </row>
    <row r="37" spans="1:15" x14ac:dyDescent="0.25">
      <c r="A37" t="s">
        <v>35</v>
      </c>
      <c r="B37" t="s">
        <v>98</v>
      </c>
      <c r="C37" t="s">
        <v>76</v>
      </c>
      <c r="D37" s="1">
        <v>30814</v>
      </c>
      <c r="E37" t="s">
        <v>51</v>
      </c>
      <c r="F37" t="s">
        <v>124</v>
      </c>
      <c r="G37" t="s">
        <v>126</v>
      </c>
      <c r="H37">
        <v>5</v>
      </c>
      <c r="I37" t="s">
        <v>1</v>
      </c>
      <c r="J37" t="s">
        <v>40</v>
      </c>
      <c r="K37">
        <v>2025</v>
      </c>
      <c r="L37">
        <v>11</v>
      </c>
      <c r="M37" t="s">
        <v>43</v>
      </c>
      <c r="N37" t="s">
        <v>1</v>
      </c>
      <c r="O37" t="str">
        <f>IF(Table46[[#This Row],[DNA]]="Yes","Has Missed Appt","Has not missed Appt")</f>
        <v>Has not missed Appt</v>
      </c>
    </row>
    <row r="38" spans="1:15" x14ac:dyDescent="0.25">
      <c r="A38" t="s">
        <v>36</v>
      </c>
      <c r="B38" t="s">
        <v>99</v>
      </c>
      <c r="C38" t="s">
        <v>77</v>
      </c>
      <c r="D38" s="1">
        <v>25720</v>
      </c>
      <c r="E38" t="s">
        <v>49</v>
      </c>
      <c r="F38" t="s">
        <v>124</v>
      </c>
      <c r="G38" t="s">
        <v>125</v>
      </c>
      <c r="H38">
        <v>1</v>
      </c>
      <c r="I38" t="s">
        <v>8</v>
      </c>
      <c r="J38" t="s">
        <v>40</v>
      </c>
      <c r="K38">
        <v>2025</v>
      </c>
      <c r="L38">
        <v>12</v>
      </c>
      <c r="M38" t="s">
        <v>43</v>
      </c>
      <c r="N38" t="s">
        <v>1</v>
      </c>
      <c r="O38" t="str">
        <f>IF(Table46[[#This Row],[DNA]]="Yes","Has Missed Appt","Has not missed Appt")</f>
        <v>Has Missed Appt</v>
      </c>
    </row>
  </sheetData>
  <mergeCells count="1">
    <mergeCell ref="A1:N1"/>
  </mergeCells>
  <conditionalFormatting sqref="O4:O38">
    <cfRule type="containsText" dxfId="1" priority="1" operator="containsText" text="Not">
      <formula>NOT(ISERROR(SEARCH("Not",O4)))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CBB3-AAD4-4D9E-9846-34A1E1AC494A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1"/>
      <c r="B3" s="12"/>
      <c r="C3" s="13"/>
    </row>
    <row r="4" spans="1:3" x14ac:dyDescent="0.25">
      <c r="A4" s="14"/>
      <c r="B4" s="15"/>
      <c r="C4" s="16"/>
    </row>
    <row r="5" spans="1:3" x14ac:dyDescent="0.25">
      <c r="A5" s="14"/>
      <c r="B5" s="15"/>
      <c r="C5" s="16"/>
    </row>
    <row r="6" spans="1:3" x14ac:dyDescent="0.25">
      <c r="A6" s="14"/>
      <c r="B6" s="15"/>
      <c r="C6" s="16"/>
    </row>
    <row r="7" spans="1:3" x14ac:dyDescent="0.25">
      <c r="A7" s="14"/>
      <c r="B7" s="15"/>
      <c r="C7" s="16"/>
    </row>
    <row r="8" spans="1:3" x14ac:dyDescent="0.25">
      <c r="A8" s="14"/>
      <c r="B8" s="15"/>
      <c r="C8" s="16"/>
    </row>
    <row r="9" spans="1:3" x14ac:dyDescent="0.25">
      <c r="A9" s="14"/>
      <c r="B9" s="15"/>
      <c r="C9" s="16"/>
    </row>
    <row r="10" spans="1:3" x14ac:dyDescent="0.25">
      <c r="A10" s="14"/>
      <c r="B10" s="15"/>
      <c r="C10" s="16"/>
    </row>
    <row r="11" spans="1:3" x14ac:dyDescent="0.25">
      <c r="A11" s="14"/>
      <c r="B11" s="15"/>
      <c r="C11" s="16"/>
    </row>
    <row r="12" spans="1:3" x14ac:dyDescent="0.25">
      <c r="A12" s="14"/>
      <c r="B12" s="15"/>
      <c r="C12" s="16"/>
    </row>
    <row r="13" spans="1:3" x14ac:dyDescent="0.25">
      <c r="A13" s="14"/>
      <c r="B13" s="15"/>
      <c r="C13" s="16"/>
    </row>
    <row r="14" spans="1:3" x14ac:dyDescent="0.25">
      <c r="A14" s="14"/>
      <c r="B14" s="15"/>
      <c r="C14" s="16"/>
    </row>
    <row r="15" spans="1:3" x14ac:dyDescent="0.25">
      <c r="A15" s="14"/>
      <c r="B15" s="15"/>
      <c r="C15" s="16"/>
    </row>
    <row r="16" spans="1:3" x14ac:dyDescent="0.25">
      <c r="A16" s="14"/>
      <c r="B16" s="15"/>
      <c r="C16" s="16"/>
    </row>
    <row r="17" spans="1:3" x14ac:dyDescent="0.25">
      <c r="A17" s="14"/>
      <c r="B17" s="15"/>
      <c r="C17" s="16"/>
    </row>
    <row r="18" spans="1:3" x14ac:dyDescent="0.25">
      <c r="A18" s="14"/>
      <c r="B18" s="15"/>
      <c r="C18" s="16"/>
    </row>
    <row r="19" spans="1:3" x14ac:dyDescent="0.25">
      <c r="A19" s="14"/>
      <c r="B19" s="15"/>
      <c r="C19" s="16"/>
    </row>
    <row r="20" spans="1:3" x14ac:dyDescent="0.25">
      <c r="A20" s="17"/>
      <c r="B20" s="18"/>
      <c r="C2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50BA-D121-4B99-9EB2-699DEC2E27E4}">
  <dimension ref="A1:U45"/>
  <sheetViews>
    <sheetView tabSelected="1" topLeftCell="A4" zoomScaleNormal="100" workbookViewId="0">
      <selection activeCell="L27" sqref="L27"/>
    </sheetView>
  </sheetViews>
  <sheetFormatPr defaultRowHeight="15" x14ac:dyDescent="0.25"/>
  <cols>
    <col min="1" max="1" width="7.140625" bestFit="1" customWidth="1"/>
    <col min="4" max="4" width="11.140625" style="1" bestFit="1" customWidth="1"/>
    <col min="5" max="5" width="13.28515625" style="3" bestFit="1" customWidth="1"/>
    <col min="6" max="6" width="13.7109375" style="3" bestFit="1" customWidth="1"/>
    <col min="7" max="7" width="13.7109375" style="3" customWidth="1"/>
    <col min="8" max="8" width="16.85546875" style="3" bestFit="1" customWidth="1"/>
    <col min="9" max="9" width="16.85546875" style="3" customWidth="1"/>
    <col min="10" max="10" width="9.85546875" customWidth="1"/>
    <col min="12" max="12" width="12.140625" bestFit="1" customWidth="1"/>
    <col min="13" max="13" width="12.42578125" customWidth="1"/>
    <col min="15" max="15" width="10.42578125" bestFit="1" customWidth="1"/>
    <col min="18" max="18" width="11.42578125" customWidth="1"/>
    <col min="19" max="19" width="12" bestFit="1" customWidth="1"/>
    <col min="20" max="20" width="27" bestFit="1" customWidth="1"/>
    <col min="21" max="21" width="18.140625" bestFit="1" customWidth="1"/>
  </cols>
  <sheetData>
    <row r="1" spans="1:21" ht="36" x14ac:dyDescent="0.55000000000000004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1" s="4" customFormat="1" x14ac:dyDescent="0.25">
      <c r="D2" s="5"/>
      <c r="E2" s="6"/>
      <c r="F2" s="6"/>
      <c r="G2" s="6"/>
      <c r="H2" s="6"/>
      <c r="I2" s="6"/>
    </row>
    <row r="3" spans="1:21" s="4" customFormat="1" ht="123.75" customHeight="1" x14ac:dyDescent="0.25">
      <c r="A3" s="7" t="s">
        <v>44</v>
      </c>
      <c r="B3" s="7" t="s">
        <v>52</v>
      </c>
      <c r="C3" s="7" t="s">
        <v>53</v>
      </c>
      <c r="D3" s="8" t="s">
        <v>132</v>
      </c>
      <c r="E3" s="9" t="s">
        <v>141</v>
      </c>
      <c r="F3" s="9" t="s">
        <v>139</v>
      </c>
      <c r="G3" s="9" t="s">
        <v>143</v>
      </c>
      <c r="H3" s="9" t="s">
        <v>140</v>
      </c>
      <c r="I3" s="9" t="s">
        <v>144</v>
      </c>
      <c r="J3" s="7" t="s">
        <v>46</v>
      </c>
      <c r="K3" s="7" t="s">
        <v>47</v>
      </c>
      <c r="L3" s="7" t="s">
        <v>133</v>
      </c>
      <c r="M3" s="7" t="s">
        <v>131</v>
      </c>
      <c r="N3" s="7" t="s">
        <v>128</v>
      </c>
      <c r="O3" s="7" t="s">
        <v>134</v>
      </c>
      <c r="P3" s="7" t="s">
        <v>38</v>
      </c>
      <c r="Q3" s="7" t="s">
        <v>39</v>
      </c>
      <c r="R3" s="7" t="s">
        <v>41</v>
      </c>
      <c r="S3" s="7" t="s">
        <v>135</v>
      </c>
      <c r="T3" s="7" t="s">
        <v>137</v>
      </c>
      <c r="U3" s="7" t="s">
        <v>142</v>
      </c>
    </row>
    <row r="4" spans="1:21" x14ac:dyDescent="0.25">
      <c r="A4" t="s">
        <v>0</v>
      </c>
      <c r="B4" t="s">
        <v>78</v>
      </c>
      <c r="C4" t="s">
        <v>100</v>
      </c>
      <c r="D4" s="1">
        <v>30814</v>
      </c>
      <c r="E4" s="3">
        <f ca="1">YEAR(TODAY()) - YEAR(Table469[[#This Row],[DOB]])</f>
        <v>41</v>
      </c>
      <c r="F4" s="3">
        <f>MONTH(Table469[[#This Row],[DOB]])</f>
        <v>5</v>
      </c>
      <c r="G4" s="3">
        <f t="shared" ref="G4:G38" ca="1" si="0">MONTH(TODAY())</f>
        <v>12</v>
      </c>
      <c r="H4" s="3">
        <f ca="1">IF(Table469[[#This Row],[Birth Month]]&lt;Table469[[#This Row],[Current Month]],0,-1)</f>
        <v>0</v>
      </c>
      <c r="I4" s="3">
        <v>41</v>
      </c>
      <c r="J4" t="s">
        <v>49</v>
      </c>
      <c r="K4" t="s">
        <v>50</v>
      </c>
      <c r="L4" t="s">
        <v>126</v>
      </c>
      <c r="M4">
        <v>2</v>
      </c>
      <c r="N4" t="s">
        <v>1</v>
      </c>
      <c r="O4" t="s">
        <v>40</v>
      </c>
      <c r="P4">
        <v>2025</v>
      </c>
      <c r="Q4">
        <v>2</v>
      </c>
      <c r="R4" t="s">
        <v>42</v>
      </c>
      <c r="S4" t="s">
        <v>8</v>
      </c>
      <c r="T4" t="str">
        <f>IF(Table469[[#This Row],[DNA]]="Yes","Has Missed Appointment","Has Not Missed Appointment")</f>
        <v>Has Not Missed Appointment</v>
      </c>
      <c r="U4" t="str" cm="1">
        <f t="array" ref="U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5" spans="1:21" x14ac:dyDescent="0.25">
      <c r="A5" t="s">
        <v>2</v>
      </c>
      <c r="B5" t="s">
        <v>54</v>
      </c>
      <c r="C5" t="s">
        <v>101</v>
      </c>
      <c r="D5" s="1">
        <v>25720</v>
      </c>
      <c r="E5" s="3">
        <f ca="1">YEAR(TODAY()) - YEAR(Table469[[#This Row],[DOB]])</f>
        <v>55</v>
      </c>
      <c r="F5" s="3">
        <f>MONTH(Table469[[#This Row],[DOB]])</f>
        <v>6</v>
      </c>
      <c r="G5" s="3">
        <f t="shared" ca="1" si="0"/>
        <v>12</v>
      </c>
      <c r="H5" s="3">
        <f ca="1">IF(Table469[[#This Row],[Birth Month]]&lt;Table469[[#This Row],[Current Month]],0,-1)</f>
        <v>0</v>
      </c>
      <c r="I5" s="3">
        <v>55</v>
      </c>
      <c r="J5" t="s">
        <v>49</v>
      </c>
      <c r="K5" t="s">
        <v>124</v>
      </c>
      <c r="L5" t="s">
        <v>126</v>
      </c>
      <c r="M5">
        <v>3</v>
      </c>
      <c r="N5" t="s">
        <v>1</v>
      </c>
      <c r="O5" t="s">
        <v>40</v>
      </c>
      <c r="P5">
        <v>2025</v>
      </c>
      <c r="Q5">
        <v>3</v>
      </c>
      <c r="R5" t="s">
        <v>43</v>
      </c>
      <c r="S5" t="s">
        <v>1</v>
      </c>
      <c r="T5" t="str">
        <f>IF(Table469[[#This Row],[DNA]]="Yes","Has Missed Appointment","Has Not Missed Appointment")</f>
        <v>Has Not Missed Appointment</v>
      </c>
      <c r="U5" t="str" cm="1">
        <f t="array" ref="U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6" spans="1:21" x14ac:dyDescent="0.25">
      <c r="A6" t="s">
        <v>3</v>
      </c>
      <c r="B6" t="s">
        <v>55</v>
      </c>
      <c r="C6" t="s">
        <v>102</v>
      </c>
      <c r="D6" s="1">
        <v>25720</v>
      </c>
      <c r="E6" s="3">
        <f ca="1">YEAR(TODAY()) - YEAR(Table469[[#This Row],[DOB]])</f>
        <v>55</v>
      </c>
      <c r="F6" s="3">
        <f>MONTH(Table469[[#This Row],[DOB]])</f>
        <v>6</v>
      </c>
      <c r="G6" s="3">
        <f t="shared" ca="1" si="0"/>
        <v>12</v>
      </c>
      <c r="H6" s="3">
        <f ca="1">IF(Table469[[#This Row],[Birth Month]]&lt;Table469[[#This Row],[Current Month]],0,-1)</f>
        <v>0</v>
      </c>
      <c r="I6" s="3">
        <v>55</v>
      </c>
      <c r="J6" t="s">
        <v>51</v>
      </c>
      <c r="K6" t="s">
        <v>124</v>
      </c>
      <c r="L6" t="s">
        <v>126</v>
      </c>
      <c r="M6">
        <v>4</v>
      </c>
      <c r="N6" t="s">
        <v>1</v>
      </c>
      <c r="O6" t="s">
        <v>40</v>
      </c>
      <c r="P6">
        <v>2025</v>
      </c>
      <c r="Q6">
        <v>4</v>
      </c>
      <c r="R6" t="s">
        <v>43</v>
      </c>
      <c r="S6" t="s">
        <v>1</v>
      </c>
      <c r="T6" t="str">
        <f>IF(Table469[[#This Row],[DNA]]="Yes","Has Missed Appointment","Has Not Missed Appointment")</f>
        <v>Has Not Missed Appointment</v>
      </c>
      <c r="U6" t="str" cm="1">
        <f t="array" ref="U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7" spans="1:21" x14ac:dyDescent="0.25">
      <c r="A7" t="s">
        <v>4</v>
      </c>
      <c r="B7" t="s">
        <v>56</v>
      </c>
      <c r="C7" t="s">
        <v>103</v>
      </c>
      <c r="D7" s="1">
        <v>25720</v>
      </c>
      <c r="E7" s="3">
        <f ca="1">YEAR(TODAY()) - YEAR(Table469[[#This Row],[DOB]])</f>
        <v>55</v>
      </c>
      <c r="F7" s="3">
        <f>MONTH(Table469[[#This Row],[DOB]])</f>
        <v>6</v>
      </c>
      <c r="G7" s="3">
        <f t="shared" ca="1" si="0"/>
        <v>12</v>
      </c>
      <c r="H7" s="3">
        <f ca="1">IF(Table469[[#This Row],[Birth Month]]&lt;Table469[[#This Row],[Current Month]],0,-1)</f>
        <v>0</v>
      </c>
      <c r="I7" s="3">
        <v>55</v>
      </c>
      <c r="J7" t="s">
        <v>51</v>
      </c>
      <c r="K7" t="s">
        <v>50</v>
      </c>
      <c r="L7" t="s">
        <v>126</v>
      </c>
      <c r="M7">
        <v>5</v>
      </c>
      <c r="N7" t="s">
        <v>1</v>
      </c>
      <c r="O7" t="s">
        <v>40</v>
      </c>
      <c r="P7">
        <v>2025</v>
      </c>
      <c r="Q7">
        <v>5</v>
      </c>
      <c r="R7" t="s">
        <v>43</v>
      </c>
      <c r="S7" t="s">
        <v>1</v>
      </c>
      <c r="T7" t="str">
        <f>IF(Table469[[#This Row],[DNA]]="Yes","Has Missed Appointment","Has Not Missed Appointment")</f>
        <v>Has Not Missed Appointment</v>
      </c>
      <c r="U7" t="str" cm="1">
        <f t="array" ref="U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8" spans="1:21" x14ac:dyDescent="0.25">
      <c r="A8" t="s">
        <v>5</v>
      </c>
      <c r="B8" t="s">
        <v>57</v>
      </c>
      <c r="C8" t="s">
        <v>104</v>
      </c>
      <c r="D8" s="1">
        <v>30814</v>
      </c>
      <c r="E8" s="3">
        <f ca="1">YEAR(TODAY()) - YEAR(Table469[[#This Row],[DOB]])</f>
        <v>41</v>
      </c>
      <c r="F8" s="3">
        <f>MONTH(Table469[[#This Row],[DOB]])</f>
        <v>5</v>
      </c>
      <c r="G8" s="3">
        <f t="shared" ca="1" si="0"/>
        <v>12</v>
      </c>
      <c r="H8" s="3">
        <f ca="1">IF(Table469[[#This Row],[Birth Month]]&lt;Table469[[#This Row],[Current Month]],0,-1)</f>
        <v>0</v>
      </c>
      <c r="I8" s="3">
        <v>41</v>
      </c>
      <c r="J8" t="s">
        <v>49</v>
      </c>
      <c r="K8" t="s">
        <v>50</v>
      </c>
      <c r="L8" t="s">
        <v>126</v>
      </c>
      <c r="M8">
        <v>1</v>
      </c>
      <c r="N8" t="s">
        <v>1</v>
      </c>
      <c r="O8" t="s">
        <v>40</v>
      </c>
      <c r="P8">
        <v>2025</v>
      </c>
      <c r="Q8">
        <v>6</v>
      </c>
      <c r="R8" t="s">
        <v>42</v>
      </c>
      <c r="S8" t="s">
        <v>1</v>
      </c>
      <c r="T8" t="str">
        <f>IF(Table469[[#This Row],[DNA]]="Yes","Has Missed Appointment","Has Not Missed Appointment")</f>
        <v>Has Not Missed Appointment</v>
      </c>
      <c r="U8" t="str" cm="1">
        <f t="array" ref="U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9" spans="1:21" x14ac:dyDescent="0.25">
      <c r="A9" t="s">
        <v>6</v>
      </c>
      <c r="B9" t="s">
        <v>79</v>
      </c>
      <c r="C9" t="s">
        <v>105</v>
      </c>
      <c r="D9" s="1">
        <v>25720</v>
      </c>
      <c r="E9" s="3">
        <f ca="1">YEAR(TODAY()) - YEAR(Table469[[#This Row],[DOB]])</f>
        <v>55</v>
      </c>
      <c r="F9" s="3">
        <f>MONTH(Table469[[#This Row],[DOB]])</f>
        <v>6</v>
      </c>
      <c r="G9" s="3">
        <f t="shared" ca="1" si="0"/>
        <v>12</v>
      </c>
      <c r="H9" s="3">
        <f ca="1">IF(Table469[[#This Row],[Birth Month]]&lt;Table469[[#This Row],[Current Month]],0,-1)</f>
        <v>0</v>
      </c>
      <c r="I9" s="3">
        <v>55</v>
      </c>
      <c r="J9" t="s">
        <v>51</v>
      </c>
      <c r="K9" t="s">
        <v>50</v>
      </c>
      <c r="L9" t="s">
        <v>126</v>
      </c>
      <c r="M9">
        <v>2</v>
      </c>
      <c r="N9" t="s">
        <v>1</v>
      </c>
      <c r="O9" t="s">
        <v>40</v>
      </c>
      <c r="P9">
        <v>2025</v>
      </c>
      <c r="Q9">
        <v>7</v>
      </c>
      <c r="R9" t="s">
        <v>43</v>
      </c>
      <c r="S9" t="s">
        <v>1</v>
      </c>
      <c r="T9" t="str">
        <f>IF(Table469[[#This Row],[DNA]]="Yes","Has Missed Appointment","Has Not Missed Appointment")</f>
        <v>Has Not Missed Appointment</v>
      </c>
      <c r="U9" t="str" cm="1">
        <f t="array" ref="U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0" spans="1:21" x14ac:dyDescent="0.25">
      <c r="A10" t="s">
        <v>7</v>
      </c>
      <c r="B10" t="s">
        <v>80</v>
      </c>
      <c r="C10" t="s">
        <v>58</v>
      </c>
      <c r="D10" s="1">
        <v>25720</v>
      </c>
      <c r="E10" s="3">
        <f ca="1">YEAR(TODAY()) - YEAR(Table469[[#This Row],[DOB]])</f>
        <v>55</v>
      </c>
      <c r="F10" s="3">
        <f>MONTH(Table469[[#This Row],[DOB]])</f>
        <v>6</v>
      </c>
      <c r="G10" s="3">
        <f t="shared" ca="1" si="0"/>
        <v>12</v>
      </c>
      <c r="H10" s="3">
        <f ca="1">IF(Table469[[#This Row],[Birth Month]]&lt;Table469[[#This Row],[Current Month]],0,-1)</f>
        <v>0</v>
      </c>
      <c r="I10" s="3">
        <v>55</v>
      </c>
      <c r="J10" t="s">
        <v>49</v>
      </c>
      <c r="K10" t="s">
        <v>50</v>
      </c>
      <c r="L10" t="s">
        <v>125</v>
      </c>
      <c r="M10">
        <v>3</v>
      </c>
      <c r="N10" t="s">
        <v>8</v>
      </c>
      <c r="O10" t="s">
        <v>40</v>
      </c>
      <c r="P10">
        <v>2025</v>
      </c>
      <c r="Q10">
        <v>8</v>
      </c>
      <c r="R10" t="s">
        <v>43</v>
      </c>
      <c r="S10" t="s">
        <v>8</v>
      </c>
      <c r="T10" t="str">
        <f>IF(Table469[[#This Row],[DNA]]="Yes","Has Missed Appointment","Has Not Missed Appointment")</f>
        <v>Has Missed Appointment</v>
      </c>
      <c r="U10" t="str" cm="1">
        <f t="array" ref="U10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11" spans="1:21" x14ac:dyDescent="0.25">
      <c r="A11" t="s">
        <v>9</v>
      </c>
      <c r="B11" t="s">
        <v>81</v>
      </c>
      <c r="C11" t="s">
        <v>59</v>
      </c>
      <c r="D11" s="1">
        <v>25574</v>
      </c>
      <c r="E11" s="3">
        <f ca="1">YEAR(TODAY()) - YEAR(Table469[[#This Row],[DOB]])</f>
        <v>55</v>
      </c>
      <c r="F11" s="3">
        <f>MONTH(Table469[[#This Row],[DOB]])</f>
        <v>1</v>
      </c>
      <c r="G11" s="3">
        <f t="shared" ca="1" si="0"/>
        <v>12</v>
      </c>
      <c r="H11" s="3">
        <f ca="1">IF(Table469[[#This Row],[Birth Month]]&lt;Table469[[#This Row],[Current Month]],0,-1)</f>
        <v>0</v>
      </c>
      <c r="I11" s="3">
        <v>55</v>
      </c>
      <c r="J11" t="s">
        <v>51</v>
      </c>
      <c r="K11" t="s">
        <v>50</v>
      </c>
      <c r="L11" t="s">
        <v>126</v>
      </c>
      <c r="M11">
        <v>4</v>
      </c>
      <c r="N11" t="s">
        <v>1</v>
      </c>
      <c r="O11" t="s">
        <v>40</v>
      </c>
      <c r="P11">
        <v>2025</v>
      </c>
      <c r="Q11">
        <v>9</v>
      </c>
      <c r="R11" t="s">
        <v>43</v>
      </c>
      <c r="S11" t="s">
        <v>1</v>
      </c>
      <c r="T11" t="str">
        <f>IF(Table469[[#This Row],[DNA]]="Yes","Has Missed Appointment","Has Not Missed Appointment")</f>
        <v>Has Not Missed Appointment</v>
      </c>
      <c r="U11" t="str" cm="1">
        <f t="array" ref="U11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2" spans="1:21" x14ac:dyDescent="0.25">
      <c r="A12" t="s">
        <v>10</v>
      </c>
      <c r="B12" t="s">
        <v>60</v>
      </c>
      <c r="C12" t="s">
        <v>106</v>
      </c>
      <c r="D12" s="1">
        <v>30814</v>
      </c>
      <c r="E12" s="3">
        <f ca="1">YEAR(TODAY()) - YEAR(Table469[[#This Row],[DOB]])</f>
        <v>41</v>
      </c>
      <c r="F12" s="3">
        <f>MONTH(Table469[[#This Row],[DOB]])</f>
        <v>5</v>
      </c>
      <c r="G12" s="3">
        <f t="shared" ca="1" si="0"/>
        <v>12</v>
      </c>
      <c r="H12" s="3">
        <f ca="1">IF(Table469[[#This Row],[Birth Month]]&lt;Table469[[#This Row],[Current Month]],0,-1)</f>
        <v>0</v>
      </c>
      <c r="I12" s="3">
        <v>41</v>
      </c>
      <c r="J12" t="s">
        <v>49</v>
      </c>
      <c r="K12" t="s">
        <v>124</v>
      </c>
      <c r="L12" t="s">
        <v>125</v>
      </c>
      <c r="M12">
        <v>5</v>
      </c>
      <c r="N12" t="s">
        <v>1</v>
      </c>
      <c r="O12" t="s">
        <v>40</v>
      </c>
      <c r="P12">
        <v>2025</v>
      </c>
      <c r="Q12">
        <v>10</v>
      </c>
      <c r="R12" t="s">
        <v>42</v>
      </c>
      <c r="S12" t="s">
        <v>1</v>
      </c>
      <c r="T12" t="str">
        <f>IF(Table469[[#This Row],[DNA]]="Yes","Has Missed Appointment","Has Not Missed Appointment")</f>
        <v>Has Not Missed Appointment</v>
      </c>
      <c r="U12" t="str" cm="1">
        <f t="array" ref="U1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3" spans="1:21" x14ac:dyDescent="0.25">
      <c r="A13" t="s">
        <v>11</v>
      </c>
      <c r="B13" t="s">
        <v>61</v>
      </c>
      <c r="C13" t="s">
        <v>107</v>
      </c>
      <c r="D13" s="1">
        <v>33200</v>
      </c>
      <c r="E13" s="3">
        <f ca="1">YEAR(TODAY()) - YEAR(Table469[[#This Row],[DOB]])</f>
        <v>35</v>
      </c>
      <c r="F13" s="3">
        <f>MONTH(Table469[[#This Row],[DOB]])</f>
        <v>11</v>
      </c>
      <c r="G13" s="3">
        <f t="shared" ca="1" si="0"/>
        <v>12</v>
      </c>
      <c r="H13" s="3">
        <f ca="1">IF(Table469[[#This Row],[Birth Month]]&lt;Table469[[#This Row],[Current Month]],0,-1)</f>
        <v>0</v>
      </c>
      <c r="I13" s="3">
        <v>35</v>
      </c>
      <c r="J13" t="s">
        <v>51</v>
      </c>
      <c r="K13" t="s">
        <v>124</v>
      </c>
      <c r="L13" t="s">
        <v>125</v>
      </c>
      <c r="M13">
        <v>1</v>
      </c>
      <c r="N13" t="s">
        <v>1</v>
      </c>
      <c r="O13" t="s">
        <v>40</v>
      </c>
      <c r="P13">
        <v>2025</v>
      </c>
      <c r="Q13">
        <v>11</v>
      </c>
      <c r="R13" t="s">
        <v>43</v>
      </c>
      <c r="S13" t="s">
        <v>1</v>
      </c>
      <c r="T13" t="str">
        <f>IF(Table469[[#This Row],[DNA]]="Yes","Has Missed Appointment","Has Not Missed Appointment")</f>
        <v>Has Not Missed Appointment</v>
      </c>
      <c r="U13" t="str" cm="1">
        <f t="array" ref="U1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4" spans="1:21" x14ac:dyDescent="0.25">
      <c r="A14" t="s">
        <v>12</v>
      </c>
      <c r="B14" t="s">
        <v>82</v>
      </c>
      <c r="C14" t="s">
        <v>62</v>
      </c>
      <c r="D14" s="1">
        <v>33200</v>
      </c>
      <c r="E14" s="3">
        <f ca="1">YEAR(TODAY()) - YEAR(Table469[[#This Row],[DOB]])</f>
        <v>35</v>
      </c>
      <c r="F14" s="3">
        <f>MONTH(Table469[[#This Row],[DOB]])</f>
        <v>11</v>
      </c>
      <c r="G14" s="3">
        <f t="shared" ca="1" si="0"/>
        <v>12</v>
      </c>
      <c r="H14" s="3">
        <f ca="1">IF(Table469[[#This Row],[Birth Month]]&lt;Table469[[#This Row],[Current Month]],0,-1)</f>
        <v>0</v>
      </c>
      <c r="I14" s="3">
        <v>35</v>
      </c>
      <c r="J14" t="s">
        <v>51</v>
      </c>
      <c r="K14" t="s">
        <v>50</v>
      </c>
      <c r="L14" t="s">
        <v>126</v>
      </c>
      <c r="M14">
        <v>2</v>
      </c>
      <c r="N14" t="s">
        <v>1</v>
      </c>
      <c r="O14" t="s">
        <v>40</v>
      </c>
      <c r="P14">
        <v>2025</v>
      </c>
      <c r="Q14">
        <v>12</v>
      </c>
      <c r="R14" t="s">
        <v>43</v>
      </c>
      <c r="S14" t="s">
        <v>1</v>
      </c>
      <c r="T14" t="str">
        <f>IF(Table469[[#This Row],[DNA]]="Yes","Has Missed Appointment","Has Not Missed Appointment")</f>
        <v>Has Not Missed Appointment</v>
      </c>
      <c r="U14" t="str" cm="1">
        <f t="array" ref="U1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5" spans="1:21" x14ac:dyDescent="0.25">
      <c r="A15" t="s">
        <v>13</v>
      </c>
      <c r="B15" t="s">
        <v>83</v>
      </c>
      <c r="C15" t="s">
        <v>108</v>
      </c>
      <c r="D15" s="1">
        <v>30814</v>
      </c>
      <c r="E15" s="3">
        <f ca="1">YEAR(TODAY()) - YEAR(Table469[[#This Row],[DOB]])</f>
        <v>41</v>
      </c>
      <c r="F15" s="3">
        <f>MONTH(Table469[[#This Row],[DOB]])</f>
        <v>5</v>
      </c>
      <c r="G15" s="3">
        <f t="shared" ca="1" si="0"/>
        <v>12</v>
      </c>
      <c r="H15" s="3">
        <f ca="1">IF(Table469[[#This Row],[Birth Month]]&lt;Table469[[#This Row],[Current Month]],0,-1)</f>
        <v>0</v>
      </c>
      <c r="I15" s="3">
        <v>41</v>
      </c>
      <c r="J15" t="s">
        <v>49</v>
      </c>
      <c r="K15" t="s">
        <v>50</v>
      </c>
      <c r="L15" t="s">
        <v>126</v>
      </c>
      <c r="M15">
        <v>3</v>
      </c>
      <c r="N15" t="s">
        <v>1</v>
      </c>
      <c r="O15" t="s">
        <v>40</v>
      </c>
      <c r="P15">
        <v>2025</v>
      </c>
      <c r="Q15">
        <v>1</v>
      </c>
      <c r="R15" t="s">
        <v>43</v>
      </c>
      <c r="S15" t="s">
        <v>1</v>
      </c>
      <c r="T15" t="str">
        <f>IF(Table469[[#This Row],[DNA]]="Yes","Has Missed Appointment","Has Not Missed Appointment")</f>
        <v>Has Not Missed Appointment</v>
      </c>
      <c r="U15" t="str" cm="1">
        <f t="array" ref="U1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6" spans="1:21" x14ac:dyDescent="0.25">
      <c r="A16" t="s">
        <v>14</v>
      </c>
      <c r="B16" t="s">
        <v>63</v>
      </c>
      <c r="C16" t="s">
        <v>109</v>
      </c>
      <c r="D16" s="1">
        <v>25720</v>
      </c>
      <c r="E16" s="3">
        <f ca="1">YEAR(TODAY()) - YEAR(Table469[[#This Row],[DOB]])</f>
        <v>55</v>
      </c>
      <c r="F16" s="3">
        <f>MONTH(Table469[[#This Row],[DOB]])</f>
        <v>6</v>
      </c>
      <c r="G16" s="3">
        <f t="shared" ca="1" si="0"/>
        <v>12</v>
      </c>
      <c r="H16" s="3">
        <f ca="1">IF(Table469[[#This Row],[Birth Month]]&lt;Table469[[#This Row],[Current Month]],0,-1)</f>
        <v>0</v>
      </c>
      <c r="I16" s="3">
        <v>55</v>
      </c>
      <c r="J16" t="s">
        <v>49</v>
      </c>
      <c r="K16" t="s">
        <v>50</v>
      </c>
      <c r="L16" t="s">
        <v>125</v>
      </c>
      <c r="M16">
        <v>4</v>
      </c>
      <c r="N16" t="s">
        <v>1</v>
      </c>
      <c r="O16" t="s">
        <v>40</v>
      </c>
      <c r="P16">
        <v>2025</v>
      </c>
      <c r="Q16">
        <v>2</v>
      </c>
      <c r="R16" t="s">
        <v>42</v>
      </c>
      <c r="S16" t="s">
        <v>8</v>
      </c>
      <c r="T16" t="str">
        <f>IF(Table469[[#This Row],[DNA]]="Yes","Has Missed Appointment","Has Not Missed Appointment")</f>
        <v>Has Not Missed Appointment</v>
      </c>
      <c r="U16" t="str" cm="1">
        <f t="array" ref="U1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7" spans="1:21" x14ac:dyDescent="0.25">
      <c r="A17" t="s">
        <v>15</v>
      </c>
      <c r="B17" t="s">
        <v>84</v>
      </c>
      <c r="C17" t="s">
        <v>110</v>
      </c>
      <c r="D17" s="1">
        <v>25720</v>
      </c>
      <c r="E17" s="3">
        <f ca="1">YEAR(TODAY()) - YEAR(Table469[[#This Row],[DOB]])</f>
        <v>55</v>
      </c>
      <c r="F17" s="3">
        <f>MONTH(Table469[[#This Row],[DOB]])</f>
        <v>6</v>
      </c>
      <c r="G17" s="3">
        <f t="shared" ca="1" si="0"/>
        <v>12</v>
      </c>
      <c r="H17" s="3">
        <f ca="1">IF(Table469[[#This Row],[Birth Month]]&lt;Table469[[#This Row],[Current Month]],0,-1)</f>
        <v>0</v>
      </c>
      <c r="I17" s="3">
        <v>55</v>
      </c>
      <c r="J17" t="s">
        <v>51</v>
      </c>
      <c r="K17" t="s">
        <v>50</v>
      </c>
      <c r="L17" t="s">
        <v>125</v>
      </c>
      <c r="M17">
        <v>5</v>
      </c>
      <c r="N17" t="s">
        <v>8</v>
      </c>
      <c r="O17" t="s">
        <v>40</v>
      </c>
      <c r="P17">
        <v>2025</v>
      </c>
      <c r="Q17">
        <v>3</v>
      </c>
      <c r="R17" t="s">
        <v>43</v>
      </c>
      <c r="S17" t="s">
        <v>1</v>
      </c>
      <c r="T17" t="str">
        <f>IF(Table469[[#This Row],[DNA]]="Yes","Has Missed Appointment","Has Not Missed Appointment")</f>
        <v>Has Missed Appointment</v>
      </c>
      <c r="U17" t="str" cm="1">
        <f t="array" ref="U17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18" spans="1:21" x14ac:dyDescent="0.25">
      <c r="A18" t="s">
        <v>16</v>
      </c>
      <c r="B18" t="s">
        <v>85</v>
      </c>
      <c r="C18" t="s">
        <v>64</v>
      </c>
      <c r="D18" s="1">
        <v>25720</v>
      </c>
      <c r="E18" s="3">
        <f ca="1">YEAR(TODAY()) - YEAR(Table469[[#This Row],[DOB]])</f>
        <v>55</v>
      </c>
      <c r="F18" s="3">
        <f>MONTH(Table469[[#This Row],[DOB]])</f>
        <v>6</v>
      </c>
      <c r="G18" s="3">
        <f t="shared" ca="1" si="0"/>
        <v>12</v>
      </c>
      <c r="H18" s="3">
        <f ca="1">IF(Table469[[#This Row],[Birth Month]]&lt;Table469[[#This Row],[Current Month]],0,-1)</f>
        <v>0</v>
      </c>
      <c r="I18" s="3">
        <v>55</v>
      </c>
      <c r="J18" t="s">
        <v>49</v>
      </c>
      <c r="K18" t="s">
        <v>124</v>
      </c>
      <c r="L18" t="s">
        <v>126</v>
      </c>
      <c r="M18">
        <v>1</v>
      </c>
      <c r="N18" t="s">
        <v>1</v>
      </c>
      <c r="O18" t="s">
        <v>40</v>
      </c>
      <c r="P18">
        <v>2025</v>
      </c>
      <c r="Q18">
        <v>4</v>
      </c>
      <c r="R18" t="s">
        <v>43</v>
      </c>
      <c r="S18" t="s">
        <v>1</v>
      </c>
      <c r="T18" t="str">
        <f>IF(Table469[[#This Row],[DNA]]="Yes","Has Missed Appointment","Has Not Missed Appointment")</f>
        <v>Has Not Missed Appointment</v>
      </c>
      <c r="U18" t="str" cm="1">
        <f t="array" ref="U1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9" spans="1:21" x14ac:dyDescent="0.25">
      <c r="A19" t="s">
        <v>17</v>
      </c>
      <c r="B19" t="s">
        <v>86</v>
      </c>
      <c r="C19" t="s">
        <v>65</v>
      </c>
      <c r="D19" s="1">
        <v>25720</v>
      </c>
      <c r="E19" s="3">
        <f ca="1">YEAR(TODAY()) - YEAR(Table469[[#This Row],[DOB]])</f>
        <v>55</v>
      </c>
      <c r="F19" s="3">
        <f>MONTH(Table469[[#This Row],[DOB]])</f>
        <v>6</v>
      </c>
      <c r="G19" s="3">
        <f t="shared" ca="1" si="0"/>
        <v>12</v>
      </c>
      <c r="H19" s="3">
        <f ca="1">IF(Table469[[#This Row],[Birth Month]]&lt;Table469[[#This Row],[Current Month]],0,-1)</f>
        <v>0</v>
      </c>
      <c r="I19" s="3">
        <v>55</v>
      </c>
      <c r="J19" t="s">
        <v>49</v>
      </c>
      <c r="K19" t="s">
        <v>124</v>
      </c>
      <c r="L19" t="s">
        <v>126</v>
      </c>
      <c r="M19">
        <v>2</v>
      </c>
      <c r="N19" t="s">
        <v>1</v>
      </c>
      <c r="O19" t="s">
        <v>40</v>
      </c>
      <c r="P19">
        <v>2025</v>
      </c>
      <c r="Q19">
        <v>5</v>
      </c>
      <c r="R19" t="s">
        <v>43</v>
      </c>
      <c r="S19" t="s">
        <v>1</v>
      </c>
      <c r="T19" t="str">
        <f>IF(Table469[[#This Row],[DNA]]="Yes","Has Missed Appointment","Has Not Missed Appointment")</f>
        <v>Has Not Missed Appointment</v>
      </c>
      <c r="U19" t="str" cm="1">
        <f t="array" ref="U1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0" spans="1:21" x14ac:dyDescent="0.25">
      <c r="A20" t="s">
        <v>18</v>
      </c>
      <c r="B20" t="s">
        <v>87</v>
      </c>
      <c r="C20" t="s">
        <v>111</v>
      </c>
      <c r="D20" s="1">
        <v>25720</v>
      </c>
      <c r="E20" s="3">
        <f ca="1">YEAR(TODAY()) - YEAR(Table469[[#This Row],[DOB]])</f>
        <v>55</v>
      </c>
      <c r="F20" s="3">
        <f>MONTH(Table469[[#This Row],[DOB]])</f>
        <v>6</v>
      </c>
      <c r="G20" s="3">
        <f t="shared" ca="1" si="0"/>
        <v>12</v>
      </c>
      <c r="H20" s="3">
        <f ca="1">IF(Table469[[#This Row],[Birth Month]]&lt;Table469[[#This Row],[Current Month]],0,-1)</f>
        <v>0</v>
      </c>
      <c r="I20" s="3">
        <v>55</v>
      </c>
      <c r="J20" t="s">
        <v>51</v>
      </c>
      <c r="K20" t="s">
        <v>50</v>
      </c>
      <c r="L20" t="s">
        <v>125</v>
      </c>
      <c r="M20">
        <v>3</v>
      </c>
      <c r="N20" t="s">
        <v>1</v>
      </c>
      <c r="O20" t="s">
        <v>40</v>
      </c>
      <c r="P20">
        <v>2025</v>
      </c>
      <c r="Q20">
        <v>6</v>
      </c>
      <c r="R20" t="s">
        <v>42</v>
      </c>
      <c r="S20" t="s">
        <v>1</v>
      </c>
      <c r="T20" t="str">
        <f>IF(Table469[[#This Row],[DNA]]="Yes","Has Missed Appointment","Has Not Missed Appointment")</f>
        <v>Has Not Missed Appointment</v>
      </c>
      <c r="U20" t="str" cm="1">
        <f t="array" ref="U20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1" spans="1:21" x14ac:dyDescent="0.25">
      <c r="A21" t="s">
        <v>19</v>
      </c>
      <c r="B21" t="s">
        <v>88</v>
      </c>
      <c r="C21" t="s">
        <v>112</v>
      </c>
      <c r="D21" s="1">
        <v>33200</v>
      </c>
      <c r="E21" s="3">
        <f ca="1">YEAR(TODAY()) - YEAR(Table469[[#This Row],[DOB]])</f>
        <v>35</v>
      </c>
      <c r="F21" s="3">
        <f>MONTH(Table469[[#This Row],[DOB]])</f>
        <v>11</v>
      </c>
      <c r="G21" s="3">
        <f t="shared" ca="1" si="0"/>
        <v>12</v>
      </c>
      <c r="H21" s="3">
        <f ca="1">IF(Table469[[#This Row],[Birth Month]]&lt;Table469[[#This Row],[Current Month]],0,-1)</f>
        <v>0</v>
      </c>
      <c r="I21" s="3">
        <v>35</v>
      </c>
      <c r="J21" t="s">
        <v>49</v>
      </c>
      <c r="K21" t="s">
        <v>50</v>
      </c>
      <c r="L21" t="s">
        <v>125</v>
      </c>
      <c r="M21">
        <v>4</v>
      </c>
      <c r="N21" t="s">
        <v>1</v>
      </c>
      <c r="O21" t="s">
        <v>40</v>
      </c>
      <c r="P21">
        <v>2025</v>
      </c>
      <c r="Q21">
        <v>7</v>
      </c>
      <c r="R21" t="s">
        <v>43</v>
      </c>
      <c r="S21" t="s">
        <v>1</v>
      </c>
      <c r="T21" t="str">
        <f>IF(Table469[[#This Row],[DNA]]="Yes","Has Missed Appointment","Has Not Missed Appointment")</f>
        <v>Has Not Missed Appointment</v>
      </c>
      <c r="U21" t="str" cm="1">
        <f t="array" ref="U21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2" spans="1:21" x14ac:dyDescent="0.25">
      <c r="A22" t="s">
        <v>20</v>
      </c>
      <c r="B22" t="s">
        <v>89</v>
      </c>
      <c r="C22" t="s">
        <v>66</v>
      </c>
      <c r="D22" s="1">
        <v>25720</v>
      </c>
      <c r="E22" s="3">
        <f ca="1">YEAR(TODAY()) - YEAR(Table469[[#This Row],[DOB]])</f>
        <v>55</v>
      </c>
      <c r="F22" s="3">
        <f>MONTH(Table469[[#This Row],[DOB]])</f>
        <v>6</v>
      </c>
      <c r="G22" s="3">
        <f t="shared" ca="1" si="0"/>
        <v>12</v>
      </c>
      <c r="H22" s="3">
        <f ca="1">IF(Table469[[#This Row],[Birth Month]]&lt;Table469[[#This Row],[Current Month]],0,-1)</f>
        <v>0</v>
      </c>
      <c r="I22" s="3">
        <v>55</v>
      </c>
      <c r="J22" t="s">
        <v>49</v>
      </c>
      <c r="K22" t="s">
        <v>50</v>
      </c>
      <c r="L22" t="s">
        <v>126</v>
      </c>
      <c r="M22">
        <v>5</v>
      </c>
      <c r="N22" t="s">
        <v>1</v>
      </c>
      <c r="O22" t="s">
        <v>40</v>
      </c>
      <c r="P22">
        <v>2025</v>
      </c>
      <c r="Q22">
        <v>8</v>
      </c>
      <c r="R22" t="s">
        <v>43</v>
      </c>
      <c r="S22" t="s">
        <v>8</v>
      </c>
      <c r="T22" t="str">
        <f>IF(Table469[[#This Row],[DNA]]="Yes","Has Missed Appointment","Has Not Missed Appointment")</f>
        <v>Has Not Missed Appointment</v>
      </c>
      <c r="U22" t="str" cm="1">
        <f t="array" ref="U2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3" spans="1:21" x14ac:dyDescent="0.25">
      <c r="A23" t="s">
        <v>21</v>
      </c>
      <c r="B23" t="s">
        <v>90</v>
      </c>
      <c r="C23" t="s">
        <v>67</v>
      </c>
      <c r="D23" s="1">
        <v>33200</v>
      </c>
      <c r="E23" s="3">
        <f ca="1">YEAR(TODAY()) - YEAR(Table469[[#This Row],[DOB]])</f>
        <v>35</v>
      </c>
      <c r="F23" s="3">
        <f>MONTH(Table469[[#This Row],[DOB]])</f>
        <v>11</v>
      </c>
      <c r="G23" s="3">
        <f t="shared" ca="1" si="0"/>
        <v>12</v>
      </c>
      <c r="H23" s="3">
        <f ca="1">IF(Table469[[#This Row],[Birth Month]]&lt;Table469[[#This Row],[Current Month]],0,-1)</f>
        <v>0</v>
      </c>
      <c r="I23" s="3">
        <v>35</v>
      </c>
      <c r="J23" t="s">
        <v>49</v>
      </c>
      <c r="K23" t="s">
        <v>50</v>
      </c>
      <c r="L23" t="s">
        <v>125</v>
      </c>
      <c r="M23">
        <v>1</v>
      </c>
      <c r="N23" t="s">
        <v>1</v>
      </c>
      <c r="O23" t="s">
        <v>40</v>
      </c>
      <c r="P23">
        <v>2025</v>
      </c>
      <c r="Q23">
        <v>9</v>
      </c>
      <c r="R23" t="s">
        <v>43</v>
      </c>
      <c r="S23" t="s">
        <v>1</v>
      </c>
      <c r="T23" t="str">
        <f>IF(Table469[[#This Row],[DNA]]="Yes","Has Missed Appointment","Has Not Missed Appointment")</f>
        <v>Has Not Missed Appointment</v>
      </c>
      <c r="U23" t="str" cm="1">
        <f t="array" ref="U2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4" spans="1:21" x14ac:dyDescent="0.25">
      <c r="A24" t="s">
        <v>22</v>
      </c>
      <c r="B24" t="s">
        <v>91</v>
      </c>
      <c r="C24" t="s">
        <v>113</v>
      </c>
      <c r="D24" s="1">
        <v>30814</v>
      </c>
      <c r="E24" s="3">
        <f ca="1">YEAR(TODAY()) - YEAR(Table469[[#This Row],[DOB]])</f>
        <v>41</v>
      </c>
      <c r="F24" s="3">
        <f>MONTH(Table469[[#This Row],[DOB]])</f>
        <v>5</v>
      </c>
      <c r="G24" s="3">
        <f t="shared" ca="1" si="0"/>
        <v>12</v>
      </c>
      <c r="H24" s="3">
        <f ca="1">IF(Table469[[#This Row],[Birth Month]]&lt;Table469[[#This Row],[Current Month]],0,-1)</f>
        <v>0</v>
      </c>
      <c r="I24" s="3">
        <v>41</v>
      </c>
      <c r="J24" t="s">
        <v>51</v>
      </c>
      <c r="K24" t="s">
        <v>50</v>
      </c>
      <c r="L24" t="s">
        <v>126</v>
      </c>
      <c r="M24">
        <v>2</v>
      </c>
      <c r="N24" t="s">
        <v>8</v>
      </c>
      <c r="O24" t="s">
        <v>40</v>
      </c>
      <c r="P24">
        <v>2025</v>
      </c>
      <c r="Q24">
        <v>10</v>
      </c>
      <c r="R24" t="s">
        <v>42</v>
      </c>
      <c r="S24" t="s">
        <v>1</v>
      </c>
      <c r="T24" t="str">
        <f>IF(Table469[[#This Row],[DNA]]="Yes","Has Missed Appointment","Has Not Missed Appointment")</f>
        <v>Has Missed Appointment</v>
      </c>
      <c r="U24" t="str" cm="1">
        <f t="array" ref="U24">_xlfn.IFS(Table469[[#This Row],[Calculated Age2]]&lt;18,"Safeguarding",AND(Table469[[#This Row],[DNA]]="Yes",Table469[[#This Row],[Appt Count]]&gt;=3),"Escalate",Table469[[#This Row],[DNA]] = "Yes","Reminder",TRUE,"NO action required")</f>
        <v>Reminder</v>
      </c>
    </row>
    <row r="25" spans="1:21" x14ac:dyDescent="0.25">
      <c r="A25" t="s">
        <v>23</v>
      </c>
      <c r="B25" t="s">
        <v>92</v>
      </c>
      <c r="C25" t="s">
        <v>114</v>
      </c>
      <c r="D25" s="1">
        <v>30814</v>
      </c>
      <c r="E25" s="3">
        <f ca="1">YEAR(TODAY()) - YEAR(Table469[[#This Row],[DOB]])</f>
        <v>41</v>
      </c>
      <c r="F25" s="3">
        <f>MONTH(Table469[[#This Row],[DOB]])</f>
        <v>5</v>
      </c>
      <c r="G25" s="3">
        <f t="shared" ca="1" si="0"/>
        <v>12</v>
      </c>
      <c r="H25" s="3">
        <f ca="1">IF(Table469[[#This Row],[Birth Month]]&lt;Table469[[#This Row],[Current Month]],0,-1)</f>
        <v>0</v>
      </c>
      <c r="I25" s="3">
        <v>41</v>
      </c>
      <c r="J25" t="s">
        <v>49</v>
      </c>
      <c r="K25" t="s">
        <v>50</v>
      </c>
      <c r="L25" t="s">
        <v>125</v>
      </c>
      <c r="M25">
        <v>3</v>
      </c>
      <c r="N25" t="s">
        <v>1</v>
      </c>
      <c r="O25" t="s">
        <v>40</v>
      </c>
      <c r="P25">
        <v>2025</v>
      </c>
      <c r="Q25">
        <v>11</v>
      </c>
      <c r="R25" t="s">
        <v>43</v>
      </c>
      <c r="S25" t="s">
        <v>1</v>
      </c>
      <c r="T25" t="str">
        <f>IF(Table469[[#This Row],[DNA]]="Yes","Has Missed Appointment","Has Not Missed Appointment")</f>
        <v>Has Not Missed Appointment</v>
      </c>
      <c r="U25" t="str" cm="1">
        <f t="array" ref="U2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6" spans="1:21" x14ac:dyDescent="0.25">
      <c r="A26" t="s">
        <v>24</v>
      </c>
      <c r="B26" t="s">
        <v>68</v>
      </c>
      <c r="C26" t="s">
        <v>115</v>
      </c>
      <c r="D26" s="1">
        <v>25720</v>
      </c>
      <c r="E26" s="3">
        <f ca="1">YEAR(TODAY()) - YEAR(Table469[[#This Row],[DOB]])</f>
        <v>55</v>
      </c>
      <c r="F26" s="3">
        <f>MONTH(Table469[[#This Row],[DOB]])</f>
        <v>6</v>
      </c>
      <c r="G26" s="3">
        <f t="shared" ca="1" si="0"/>
        <v>12</v>
      </c>
      <c r="H26" s="3">
        <f ca="1">IF(Table469[[#This Row],[Birth Month]]&lt;Table469[[#This Row],[Current Month]],0,-1)</f>
        <v>0</v>
      </c>
      <c r="I26" s="3">
        <v>55</v>
      </c>
      <c r="J26" t="s">
        <v>49</v>
      </c>
      <c r="K26" t="s">
        <v>124</v>
      </c>
      <c r="L26" t="s">
        <v>126</v>
      </c>
      <c r="M26">
        <v>4</v>
      </c>
      <c r="N26" t="s">
        <v>1</v>
      </c>
      <c r="O26" t="s">
        <v>40</v>
      </c>
      <c r="P26">
        <v>2025</v>
      </c>
      <c r="Q26">
        <v>12</v>
      </c>
      <c r="R26" t="s">
        <v>43</v>
      </c>
      <c r="S26" t="s">
        <v>1</v>
      </c>
      <c r="T26" t="str">
        <f>IF(Table469[[#This Row],[DNA]]="Yes","Has Missed Appointment","Has Not Missed Appointment")</f>
        <v>Has Not Missed Appointment</v>
      </c>
      <c r="U26" t="str" cm="1">
        <f t="array" ref="U2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7" spans="1:21" x14ac:dyDescent="0.25">
      <c r="A27" t="s">
        <v>25</v>
      </c>
      <c r="B27" t="s">
        <v>69</v>
      </c>
      <c r="C27" t="s">
        <v>116</v>
      </c>
      <c r="D27" s="1">
        <v>30814</v>
      </c>
      <c r="E27" s="3">
        <f ca="1">YEAR(TODAY()) - YEAR(Table469[[#This Row],[DOB]])</f>
        <v>41</v>
      </c>
      <c r="F27" s="3">
        <f>MONTH(Table469[[#This Row],[DOB]])</f>
        <v>5</v>
      </c>
      <c r="G27" s="3">
        <f t="shared" ca="1" si="0"/>
        <v>12</v>
      </c>
      <c r="H27" s="3">
        <f ca="1">IF(Table469[[#This Row],[Birth Month]]&lt;Table469[[#This Row],[Current Month]],0,-1)</f>
        <v>0</v>
      </c>
      <c r="I27" s="3">
        <v>41</v>
      </c>
      <c r="J27" t="s">
        <v>51</v>
      </c>
      <c r="K27" t="s">
        <v>124</v>
      </c>
      <c r="L27" t="s">
        <v>126</v>
      </c>
      <c r="M27">
        <v>5</v>
      </c>
      <c r="N27" t="s">
        <v>1</v>
      </c>
      <c r="O27" t="s">
        <v>40</v>
      </c>
      <c r="P27">
        <v>2025</v>
      </c>
      <c r="Q27">
        <v>1</v>
      </c>
      <c r="R27" t="s">
        <v>43</v>
      </c>
      <c r="S27" t="s">
        <v>1</v>
      </c>
      <c r="T27" t="str">
        <f>IF(Table469[[#This Row],[DNA]]="Yes","Has Missed Appointment","Has Not Missed Appointment")</f>
        <v>Has Not Missed Appointment</v>
      </c>
      <c r="U27" t="str" cm="1">
        <f t="array" ref="U2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8" spans="1:21" x14ac:dyDescent="0.25">
      <c r="A28" t="s">
        <v>26</v>
      </c>
      <c r="B28" t="s">
        <v>93</v>
      </c>
      <c r="C28" t="s">
        <v>117</v>
      </c>
      <c r="D28" s="1">
        <v>33200</v>
      </c>
      <c r="E28" s="3">
        <f ca="1">YEAR(TODAY()) - YEAR(Table469[[#This Row],[DOB]])</f>
        <v>35</v>
      </c>
      <c r="F28" s="3">
        <f>MONTH(Table469[[#This Row],[DOB]])</f>
        <v>11</v>
      </c>
      <c r="G28" s="3">
        <f t="shared" ca="1" si="0"/>
        <v>12</v>
      </c>
      <c r="H28" s="3">
        <f ca="1">IF(Table469[[#This Row],[Birth Month]]&lt;Table469[[#This Row],[Current Month]],0,-1)</f>
        <v>0</v>
      </c>
      <c r="I28" s="3">
        <v>35</v>
      </c>
      <c r="J28" t="s">
        <v>49</v>
      </c>
      <c r="K28" t="s">
        <v>50</v>
      </c>
      <c r="L28" t="s">
        <v>126</v>
      </c>
      <c r="M28">
        <v>1</v>
      </c>
      <c r="N28" t="s">
        <v>1</v>
      </c>
      <c r="O28" t="s">
        <v>40</v>
      </c>
      <c r="P28">
        <v>2025</v>
      </c>
      <c r="Q28">
        <v>2</v>
      </c>
      <c r="R28" t="s">
        <v>42</v>
      </c>
      <c r="S28" t="s">
        <v>8</v>
      </c>
      <c r="T28" t="str">
        <f>IF(Table469[[#This Row],[DNA]]="Yes","Has Missed Appointment","Has Not Missed Appointment")</f>
        <v>Has Not Missed Appointment</v>
      </c>
      <c r="U28" t="str" cm="1">
        <f t="array" ref="U2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9" spans="1:21" x14ac:dyDescent="0.25">
      <c r="A29" t="s">
        <v>27</v>
      </c>
      <c r="B29" t="s">
        <v>94</v>
      </c>
      <c r="C29" t="s">
        <v>118</v>
      </c>
      <c r="D29" s="1">
        <v>30814</v>
      </c>
      <c r="E29" s="3">
        <f ca="1">YEAR(TODAY()) - YEAR(Table469[[#This Row],[DOB]])</f>
        <v>41</v>
      </c>
      <c r="F29" s="3">
        <f>MONTH(Table469[[#This Row],[DOB]])</f>
        <v>5</v>
      </c>
      <c r="G29" s="3">
        <f t="shared" ca="1" si="0"/>
        <v>12</v>
      </c>
      <c r="H29" s="3">
        <f ca="1">IF(Table469[[#This Row],[Birth Month]]&lt;Table469[[#This Row],[Current Month]],0,-1)</f>
        <v>0</v>
      </c>
      <c r="I29" s="3">
        <v>41</v>
      </c>
      <c r="J29" t="s">
        <v>51</v>
      </c>
      <c r="K29" t="s">
        <v>50</v>
      </c>
      <c r="L29" t="s">
        <v>126</v>
      </c>
      <c r="M29">
        <v>2</v>
      </c>
      <c r="N29" t="s">
        <v>1</v>
      </c>
      <c r="O29" t="s">
        <v>40</v>
      </c>
      <c r="P29">
        <v>2025</v>
      </c>
      <c r="Q29">
        <v>3</v>
      </c>
      <c r="R29" t="s">
        <v>43</v>
      </c>
      <c r="S29" t="s">
        <v>1</v>
      </c>
      <c r="T29" t="str">
        <f>IF(Table469[[#This Row],[DNA]]="Yes","Has Missed Appointment","Has Not Missed Appointment")</f>
        <v>Has Not Missed Appointment</v>
      </c>
      <c r="U29" t="str" cm="1">
        <f t="array" ref="U2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0" spans="1:21" x14ac:dyDescent="0.25">
      <c r="A30" t="s">
        <v>28</v>
      </c>
      <c r="B30" t="s">
        <v>70</v>
      </c>
      <c r="C30" t="s">
        <v>119</v>
      </c>
      <c r="D30" s="1">
        <v>25574</v>
      </c>
      <c r="E30" s="3">
        <f ca="1">YEAR(TODAY()) - YEAR(Table469[[#This Row],[DOB]])</f>
        <v>55</v>
      </c>
      <c r="F30" s="3">
        <f>MONTH(Table469[[#This Row],[DOB]])</f>
        <v>1</v>
      </c>
      <c r="G30" s="3">
        <f t="shared" ca="1" si="0"/>
        <v>12</v>
      </c>
      <c r="H30" s="3">
        <f ca="1">IF(Table469[[#This Row],[Birth Month]]&lt;Table469[[#This Row],[Current Month]],0,-1)</f>
        <v>0</v>
      </c>
      <c r="I30" s="3">
        <v>55</v>
      </c>
      <c r="J30" t="s">
        <v>51</v>
      </c>
      <c r="K30" t="s">
        <v>50</v>
      </c>
      <c r="L30" t="s">
        <v>125</v>
      </c>
      <c r="M30">
        <v>3</v>
      </c>
      <c r="N30" t="s">
        <v>1</v>
      </c>
      <c r="O30" t="s">
        <v>40</v>
      </c>
      <c r="P30">
        <v>2025</v>
      </c>
      <c r="Q30">
        <v>4</v>
      </c>
      <c r="R30" t="s">
        <v>43</v>
      </c>
      <c r="S30" t="s">
        <v>1</v>
      </c>
      <c r="T30" t="str">
        <f>IF(Table469[[#This Row],[DNA]]="Yes","Has Missed Appointment","Has Not Missed Appointment")</f>
        <v>Has Not Missed Appointment</v>
      </c>
      <c r="U30" t="str" cm="1">
        <f t="array" ref="U30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1" spans="1:21" x14ac:dyDescent="0.25">
      <c r="A31" t="s">
        <v>29</v>
      </c>
      <c r="B31" t="s">
        <v>71</v>
      </c>
      <c r="C31" t="s">
        <v>120</v>
      </c>
      <c r="D31" s="1">
        <v>30814</v>
      </c>
      <c r="E31" s="3">
        <f ca="1">YEAR(TODAY()) - YEAR(Table469[[#This Row],[DOB]])</f>
        <v>41</v>
      </c>
      <c r="F31" s="3">
        <f>MONTH(Table469[[#This Row],[DOB]])</f>
        <v>5</v>
      </c>
      <c r="G31" s="3">
        <f t="shared" ca="1" si="0"/>
        <v>12</v>
      </c>
      <c r="H31" s="3">
        <f ca="1">IF(Table469[[#This Row],[Birth Month]]&lt;Table469[[#This Row],[Current Month]],0,-1)</f>
        <v>0</v>
      </c>
      <c r="I31" s="3">
        <v>41</v>
      </c>
      <c r="J31" t="s">
        <v>49</v>
      </c>
      <c r="K31" t="s">
        <v>50</v>
      </c>
      <c r="L31" t="s">
        <v>125</v>
      </c>
      <c r="M31">
        <v>4</v>
      </c>
      <c r="N31" t="s">
        <v>8</v>
      </c>
      <c r="O31" t="s">
        <v>40</v>
      </c>
      <c r="P31">
        <v>2025</v>
      </c>
      <c r="Q31">
        <v>5</v>
      </c>
      <c r="R31" t="s">
        <v>43</v>
      </c>
      <c r="S31" t="s">
        <v>1</v>
      </c>
      <c r="T31" t="str">
        <f>IF(Table469[[#This Row],[DNA]]="Yes","Has Missed Appointment","Has Not Missed Appointment")</f>
        <v>Has Missed Appointment</v>
      </c>
      <c r="U31" t="str" cm="1">
        <f t="array" ref="U31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32" spans="1:21" x14ac:dyDescent="0.25">
      <c r="A32" t="s">
        <v>30</v>
      </c>
      <c r="B32" t="s">
        <v>95</v>
      </c>
      <c r="C32" t="s">
        <v>121</v>
      </c>
      <c r="D32" s="1">
        <v>30814</v>
      </c>
      <c r="E32" s="3">
        <f ca="1">YEAR(TODAY()) - YEAR(Table469[[#This Row],[DOB]])</f>
        <v>41</v>
      </c>
      <c r="F32" s="3">
        <f>MONTH(Table469[[#This Row],[DOB]])</f>
        <v>5</v>
      </c>
      <c r="G32" s="3">
        <f t="shared" ca="1" si="0"/>
        <v>12</v>
      </c>
      <c r="H32" s="3">
        <f ca="1">IF(Table469[[#This Row],[Birth Month]]&lt;Table469[[#This Row],[Current Month]],0,-1)</f>
        <v>0</v>
      </c>
      <c r="I32" s="3">
        <v>41</v>
      </c>
      <c r="J32" t="s">
        <v>49</v>
      </c>
      <c r="K32" t="s">
        <v>124</v>
      </c>
      <c r="L32" t="s">
        <v>126</v>
      </c>
      <c r="M32">
        <v>5</v>
      </c>
      <c r="N32" t="s">
        <v>1</v>
      </c>
      <c r="O32" t="s">
        <v>40</v>
      </c>
      <c r="P32">
        <v>2025</v>
      </c>
      <c r="Q32">
        <v>6</v>
      </c>
      <c r="R32" t="s">
        <v>42</v>
      </c>
      <c r="S32" t="s">
        <v>1</v>
      </c>
      <c r="T32" t="str">
        <f>IF(Table469[[#This Row],[DNA]]="Yes","Has Missed Appointment","Has Not Missed Appointment")</f>
        <v>Has Not Missed Appointment</v>
      </c>
      <c r="U32" t="str" cm="1">
        <f t="array" ref="U3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3" spans="1:21" x14ac:dyDescent="0.25">
      <c r="A33" t="s">
        <v>31</v>
      </c>
      <c r="B33" t="s">
        <v>96</v>
      </c>
      <c r="C33" t="s">
        <v>72</v>
      </c>
      <c r="D33" s="1">
        <v>30814</v>
      </c>
      <c r="E33" s="3">
        <f ca="1">YEAR(TODAY()) - YEAR(Table469[[#This Row],[DOB]])</f>
        <v>41</v>
      </c>
      <c r="F33" s="3">
        <f>MONTH(Table469[[#This Row],[DOB]])</f>
        <v>5</v>
      </c>
      <c r="G33" s="3">
        <f t="shared" ca="1" si="0"/>
        <v>12</v>
      </c>
      <c r="H33" s="3">
        <f ca="1">IF(Table469[[#This Row],[Birth Month]]&lt;Table469[[#This Row],[Current Month]],0,-1)</f>
        <v>0</v>
      </c>
      <c r="I33" s="3">
        <v>41</v>
      </c>
      <c r="J33" t="s">
        <v>51</v>
      </c>
      <c r="K33" t="s">
        <v>124</v>
      </c>
      <c r="L33" t="s">
        <v>125</v>
      </c>
      <c r="M33">
        <v>1</v>
      </c>
      <c r="N33" t="s">
        <v>1</v>
      </c>
      <c r="O33" t="s">
        <v>40</v>
      </c>
      <c r="P33">
        <v>2025</v>
      </c>
      <c r="Q33">
        <v>7</v>
      </c>
      <c r="R33" t="s">
        <v>43</v>
      </c>
      <c r="S33" t="s">
        <v>1</v>
      </c>
      <c r="T33" t="str">
        <f>IF(Table469[[#This Row],[DNA]]="Yes","Has Missed Appointment","Has Not Missed Appointment")</f>
        <v>Has Not Missed Appointment</v>
      </c>
      <c r="U33" t="str" cm="1">
        <f t="array" ref="U3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4" spans="1:21" x14ac:dyDescent="0.25">
      <c r="A34" t="s">
        <v>32</v>
      </c>
      <c r="B34" t="s">
        <v>73</v>
      </c>
      <c r="C34" t="s">
        <v>122</v>
      </c>
      <c r="D34" s="1">
        <v>33200</v>
      </c>
      <c r="E34" s="3">
        <f ca="1">YEAR(TODAY()) - YEAR(Table469[[#This Row],[DOB]])</f>
        <v>35</v>
      </c>
      <c r="F34" s="3">
        <f>MONTH(Table469[[#This Row],[DOB]])</f>
        <v>11</v>
      </c>
      <c r="G34" s="3">
        <f t="shared" ca="1" si="0"/>
        <v>12</v>
      </c>
      <c r="H34" s="3">
        <f ca="1">IF(Table469[[#This Row],[Birth Month]]&lt;Table469[[#This Row],[Current Month]],0,-1)</f>
        <v>0</v>
      </c>
      <c r="I34" s="3">
        <v>35</v>
      </c>
      <c r="J34" t="s">
        <v>49</v>
      </c>
      <c r="K34" t="s">
        <v>50</v>
      </c>
      <c r="L34" t="s">
        <v>125</v>
      </c>
      <c r="M34">
        <v>2</v>
      </c>
      <c r="N34" t="s">
        <v>1</v>
      </c>
      <c r="O34" t="s">
        <v>40</v>
      </c>
      <c r="P34">
        <v>2025</v>
      </c>
      <c r="Q34">
        <v>8</v>
      </c>
      <c r="R34" t="s">
        <v>43</v>
      </c>
      <c r="S34" t="s">
        <v>8</v>
      </c>
      <c r="T34" t="str">
        <f>IF(Table469[[#This Row],[DNA]]="Yes","Has Missed Appointment","Has Not Missed Appointment")</f>
        <v>Has Not Missed Appointment</v>
      </c>
      <c r="U34" t="str" cm="1">
        <f t="array" ref="U3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5" spans="1:21" x14ac:dyDescent="0.25">
      <c r="A35" t="s">
        <v>33</v>
      </c>
      <c r="B35" t="s">
        <v>97</v>
      </c>
      <c r="C35" t="s">
        <v>74</v>
      </c>
      <c r="D35" s="1">
        <v>25720</v>
      </c>
      <c r="E35" s="3">
        <f ca="1">YEAR(TODAY()) - YEAR(Table469[[#This Row],[DOB]])</f>
        <v>55</v>
      </c>
      <c r="F35" s="3">
        <f>MONTH(Table469[[#This Row],[DOB]])</f>
        <v>6</v>
      </c>
      <c r="G35" s="3">
        <f t="shared" ca="1" si="0"/>
        <v>12</v>
      </c>
      <c r="H35" s="3">
        <f ca="1">IF(Table469[[#This Row],[Birth Month]]&lt;Table469[[#This Row],[Current Month]],0,-1)</f>
        <v>0</v>
      </c>
      <c r="I35" s="3">
        <v>55</v>
      </c>
      <c r="J35" t="s">
        <v>51</v>
      </c>
      <c r="K35" t="s">
        <v>124</v>
      </c>
      <c r="L35" t="s">
        <v>126</v>
      </c>
      <c r="M35">
        <v>3</v>
      </c>
      <c r="N35" t="s">
        <v>1</v>
      </c>
      <c r="O35" t="s">
        <v>40</v>
      </c>
      <c r="P35">
        <v>2025</v>
      </c>
      <c r="Q35">
        <v>9</v>
      </c>
      <c r="R35" t="s">
        <v>43</v>
      </c>
      <c r="S35" t="s">
        <v>1</v>
      </c>
      <c r="T35" t="str">
        <f>IF(Table469[[#This Row],[DNA]]="Yes","Has Missed Appointment","Has Not Missed Appointment")</f>
        <v>Has Not Missed Appointment</v>
      </c>
      <c r="U35" t="str" cm="1">
        <f t="array" ref="U3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6" spans="1:21" x14ac:dyDescent="0.25">
      <c r="A36" t="s">
        <v>34</v>
      </c>
      <c r="B36" t="s">
        <v>75</v>
      </c>
      <c r="C36" t="s">
        <v>123</v>
      </c>
      <c r="D36" s="1">
        <v>30814</v>
      </c>
      <c r="E36" s="3">
        <f ca="1">YEAR(TODAY()) - YEAR(Table469[[#This Row],[DOB]])</f>
        <v>41</v>
      </c>
      <c r="F36" s="3">
        <f>MONTH(Table469[[#This Row],[DOB]])</f>
        <v>5</v>
      </c>
      <c r="G36" s="3">
        <f t="shared" ca="1" si="0"/>
        <v>12</v>
      </c>
      <c r="H36" s="3">
        <f ca="1">IF(Table469[[#This Row],[Birth Month]]&lt;Table469[[#This Row],[Current Month]],0,-1)</f>
        <v>0</v>
      </c>
      <c r="I36" s="3">
        <v>41</v>
      </c>
      <c r="J36" t="s">
        <v>51</v>
      </c>
      <c r="K36" t="s">
        <v>124</v>
      </c>
      <c r="L36" t="s">
        <v>125</v>
      </c>
      <c r="M36">
        <v>4</v>
      </c>
      <c r="N36" t="s">
        <v>1</v>
      </c>
      <c r="O36" t="s">
        <v>40</v>
      </c>
      <c r="P36">
        <v>2025</v>
      </c>
      <c r="Q36">
        <v>10</v>
      </c>
      <c r="R36" t="s">
        <v>42</v>
      </c>
      <c r="S36" t="s">
        <v>1</v>
      </c>
      <c r="T36" t="str">
        <f>IF(Table469[[#This Row],[DNA]]="Yes","Has Missed Appointment","Has Not Missed Appointment")</f>
        <v>Has Not Missed Appointment</v>
      </c>
      <c r="U36" t="str" cm="1">
        <f t="array" ref="U3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7" spans="1:21" x14ac:dyDescent="0.25">
      <c r="A37" t="s">
        <v>35</v>
      </c>
      <c r="B37" t="s">
        <v>98</v>
      </c>
      <c r="C37" t="s">
        <v>76</v>
      </c>
      <c r="D37" s="1">
        <v>30814</v>
      </c>
      <c r="E37" s="3">
        <f ca="1">YEAR(TODAY()) - YEAR(Table469[[#This Row],[DOB]])</f>
        <v>41</v>
      </c>
      <c r="F37" s="3">
        <f>MONTH(Table469[[#This Row],[DOB]])</f>
        <v>5</v>
      </c>
      <c r="G37" s="3">
        <f t="shared" ca="1" si="0"/>
        <v>12</v>
      </c>
      <c r="H37" s="3">
        <f ca="1">IF(Table469[[#This Row],[Birth Month]]&lt;Table469[[#This Row],[Current Month]],0,-1)</f>
        <v>0</v>
      </c>
      <c r="I37" s="3">
        <v>41</v>
      </c>
      <c r="J37" t="s">
        <v>51</v>
      </c>
      <c r="K37" t="s">
        <v>124</v>
      </c>
      <c r="L37" t="s">
        <v>126</v>
      </c>
      <c r="M37">
        <v>5</v>
      </c>
      <c r="N37" t="s">
        <v>1</v>
      </c>
      <c r="O37" t="s">
        <v>40</v>
      </c>
      <c r="P37">
        <v>2025</v>
      </c>
      <c r="Q37">
        <v>11</v>
      </c>
      <c r="R37" t="s">
        <v>43</v>
      </c>
      <c r="S37" t="s">
        <v>1</v>
      </c>
      <c r="T37" t="str">
        <f>IF(Table469[[#This Row],[DNA]]="Yes","Has Missed Appointment","Has Not Missed Appointment")</f>
        <v>Has Not Missed Appointment</v>
      </c>
      <c r="U37" t="str" cm="1">
        <f t="array" ref="U3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8" spans="1:21" x14ac:dyDescent="0.25">
      <c r="A38" t="s">
        <v>36</v>
      </c>
      <c r="B38" t="s">
        <v>99</v>
      </c>
      <c r="C38" t="s">
        <v>77</v>
      </c>
      <c r="D38" s="1">
        <v>25720</v>
      </c>
      <c r="E38" s="3">
        <f ca="1">YEAR(TODAY()) - YEAR(Table469[[#This Row],[DOB]])</f>
        <v>55</v>
      </c>
      <c r="F38" s="3">
        <f>MONTH(Table469[[#This Row],[DOB]])</f>
        <v>6</v>
      </c>
      <c r="G38" s="3">
        <f t="shared" ca="1" si="0"/>
        <v>12</v>
      </c>
      <c r="H38" s="3">
        <f ca="1">IF(Table469[[#This Row],[Birth Month]]&lt;Table469[[#This Row],[Current Month]],0,-1)</f>
        <v>0</v>
      </c>
      <c r="I38" s="3">
        <v>55</v>
      </c>
      <c r="J38" t="s">
        <v>49</v>
      </c>
      <c r="K38" t="s">
        <v>124</v>
      </c>
      <c r="L38" t="s">
        <v>125</v>
      </c>
      <c r="M38">
        <v>1</v>
      </c>
      <c r="N38" t="s">
        <v>8</v>
      </c>
      <c r="O38" t="s">
        <v>40</v>
      </c>
      <c r="P38">
        <v>2025</v>
      </c>
      <c r="Q38">
        <v>12</v>
      </c>
      <c r="R38" t="s">
        <v>43</v>
      </c>
      <c r="S38" t="s">
        <v>1</v>
      </c>
      <c r="T38" t="str">
        <f>IF(Table469[[#This Row],[DNA]]="Yes","Has Missed Appointment","Has Not Missed Appointment")</f>
        <v>Has Missed Appointment</v>
      </c>
      <c r="U38" t="str" cm="1">
        <f t="array" ref="U38">_xlfn.IFS(Table469[[#This Row],[Calculated Age2]]&lt;18,"Safeguarding",AND(Table469[[#This Row],[DNA]]="Yes",Table469[[#This Row],[Appt Count]]&gt;=3),"Escalate",Table469[[#This Row],[DNA]] = "Yes","Reminder",TRUE,"NO action required")</f>
        <v>Reminder</v>
      </c>
    </row>
    <row r="41" spans="1:21" x14ac:dyDescent="0.25">
      <c r="E41" s="2"/>
    </row>
    <row r="42" spans="1:21" x14ac:dyDescent="0.25">
      <c r="E42" s="2"/>
    </row>
    <row r="43" spans="1:21" x14ac:dyDescent="0.25">
      <c r="D43"/>
      <c r="E43" s="2"/>
      <c r="I43" s="3">
        <f>COUNTIFS(Table469[Gender],"F",Table469[DNA],"Yes")</f>
        <v>2</v>
      </c>
      <c r="K43">
        <f>SUMIFS(Table469[DNA],Table469[Gender],"F",Table469[Calculated Age2],"&gt;25")</f>
        <v>0</v>
      </c>
      <c r="M43">
        <f>AVERAGEIFS(Table469[Calculated Age2],Table469[Gender],"M",Table469[Outcome],"Ongoing")</f>
        <v>42.333333333333336</v>
      </c>
    </row>
    <row r="44" spans="1:21" x14ac:dyDescent="0.25">
      <c r="D44"/>
      <c r="E44" s="2"/>
      <c r="I44" s="3">
        <f>COUNTIFS(Table469[Gender],"M",Table469[DNA],"Yes")</f>
        <v>3</v>
      </c>
      <c r="K44">
        <f>SUMIFS(Table469[DNA],Table469[Gender],"M",Table469[Calculated Age2],"&gt;30",Table469[DNA],"No")</f>
        <v>0</v>
      </c>
    </row>
    <row r="45" spans="1:21" x14ac:dyDescent="0.25">
      <c r="E45" s="2"/>
    </row>
  </sheetData>
  <mergeCells count="1">
    <mergeCell ref="A1:S1"/>
  </mergeCells>
  <conditionalFormatting sqref="T4:T38">
    <cfRule type="containsText" dxfId="0" priority="1" operator="containsText" text="Not">
      <formula>NOT(ISERROR(SEARCH("Not",T4)))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7823-7409-46EE-A6A7-19D5173EA8D7}">
  <dimension ref="A1:N36"/>
  <sheetViews>
    <sheetView workbookViewId="0">
      <selection activeCell="O14" sqref="O14"/>
    </sheetView>
  </sheetViews>
  <sheetFormatPr defaultRowHeight="15" x14ac:dyDescent="0.25"/>
  <cols>
    <col min="1" max="1" width="12.85546875" customWidth="1"/>
    <col min="4" max="4" width="14.42578125" customWidth="1"/>
    <col min="5" max="5" width="9.85546875" customWidth="1"/>
    <col min="7" max="7" width="16.140625" customWidth="1"/>
    <col min="8" max="8" width="20.85546875" customWidth="1"/>
    <col min="10" max="10" width="14" customWidth="1"/>
    <col min="13" max="13" width="11.42578125" customWidth="1"/>
    <col min="14" max="14" width="20.5703125" customWidth="1"/>
  </cols>
  <sheetData>
    <row r="1" spans="1:14" x14ac:dyDescent="0.25">
      <c r="A1" t="s">
        <v>44</v>
      </c>
      <c r="B1" t="s">
        <v>52</v>
      </c>
      <c r="C1" t="s">
        <v>53</v>
      </c>
      <c r="D1" t="s">
        <v>45</v>
      </c>
      <c r="E1" t="s">
        <v>46</v>
      </c>
      <c r="F1" t="s">
        <v>47</v>
      </c>
      <c r="G1" t="s">
        <v>48</v>
      </c>
      <c r="H1" t="s">
        <v>127</v>
      </c>
      <c r="I1" t="s">
        <v>128</v>
      </c>
      <c r="J1" t="s">
        <v>37</v>
      </c>
      <c r="K1" t="s">
        <v>38</v>
      </c>
      <c r="L1" t="s">
        <v>39</v>
      </c>
      <c r="M1" t="s">
        <v>41</v>
      </c>
      <c r="N1" t="s">
        <v>129</v>
      </c>
    </row>
    <row r="2" spans="1:14" x14ac:dyDescent="0.25">
      <c r="A2" t="s">
        <v>0</v>
      </c>
      <c r="B2" t="s">
        <v>78</v>
      </c>
      <c r="C2" t="s">
        <v>100</v>
      </c>
      <c r="D2">
        <v>30814</v>
      </c>
      <c r="E2" t="s">
        <v>49</v>
      </c>
      <c r="F2" t="s">
        <v>50</v>
      </c>
      <c r="G2" t="s">
        <v>126</v>
      </c>
      <c r="H2">
        <v>2</v>
      </c>
      <c r="I2" t="s">
        <v>1</v>
      </c>
      <c r="J2" t="s">
        <v>40</v>
      </c>
      <c r="K2">
        <v>2025</v>
      </c>
      <c r="L2">
        <v>2</v>
      </c>
      <c r="M2" t="s">
        <v>42</v>
      </c>
      <c r="N2" t="s">
        <v>8</v>
      </c>
    </row>
    <row r="3" spans="1:14" x14ac:dyDescent="0.25">
      <c r="A3" t="s">
        <v>2</v>
      </c>
      <c r="B3" t="s">
        <v>54</v>
      </c>
      <c r="C3" t="s">
        <v>101</v>
      </c>
      <c r="D3">
        <v>25720</v>
      </c>
      <c r="E3" t="s">
        <v>49</v>
      </c>
      <c r="F3" t="s">
        <v>124</v>
      </c>
      <c r="G3" t="s">
        <v>126</v>
      </c>
      <c r="H3">
        <v>3</v>
      </c>
      <c r="I3" t="s">
        <v>1</v>
      </c>
      <c r="J3" t="s">
        <v>40</v>
      </c>
      <c r="K3">
        <v>2025</v>
      </c>
      <c r="L3">
        <v>3</v>
      </c>
      <c r="M3" t="s">
        <v>43</v>
      </c>
      <c r="N3" t="s">
        <v>1</v>
      </c>
    </row>
    <row r="4" spans="1:14" x14ac:dyDescent="0.25">
      <c r="A4" t="s">
        <v>3</v>
      </c>
      <c r="B4" t="s">
        <v>55</v>
      </c>
      <c r="C4" t="s">
        <v>102</v>
      </c>
      <c r="D4">
        <v>25720</v>
      </c>
      <c r="E4" t="s">
        <v>51</v>
      </c>
      <c r="F4" t="s">
        <v>124</v>
      </c>
      <c r="G4" t="s">
        <v>126</v>
      </c>
      <c r="H4">
        <v>4</v>
      </c>
      <c r="I4" t="s">
        <v>1</v>
      </c>
      <c r="J4" t="s">
        <v>40</v>
      </c>
      <c r="K4">
        <v>2025</v>
      </c>
      <c r="L4">
        <v>4</v>
      </c>
      <c r="M4" t="s">
        <v>43</v>
      </c>
      <c r="N4" t="s">
        <v>1</v>
      </c>
    </row>
    <row r="5" spans="1:14" x14ac:dyDescent="0.25">
      <c r="A5" t="s">
        <v>4</v>
      </c>
      <c r="B5" t="s">
        <v>56</v>
      </c>
      <c r="C5" t="s">
        <v>103</v>
      </c>
      <c r="D5">
        <v>25720</v>
      </c>
      <c r="E5" t="s">
        <v>51</v>
      </c>
      <c r="F5" t="s">
        <v>50</v>
      </c>
      <c r="G5" t="s">
        <v>126</v>
      </c>
      <c r="H5">
        <v>5</v>
      </c>
      <c r="I5" t="s">
        <v>1</v>
      </c>
      <c r="J5" t="s">
        <v>40</v>
      </c>
      <c r="K5">
        <v>2025</v>
      </c>
      <c r="L5">
        <v>5</v>
      </c>
      <c r="M5" t="s">
        <v>43</v>
      </c>
      <c r="N5" t="s">
        <v>1</v>
      </c>
    </row>
    <row r="6" spans="1:14" x14ac:dyDescent="0.25">
      <c r="A6" t="s">
        <v>5</v>
      </c>
      <c r="B6" t="s">
        <v>57</v>
      </c>
      <c r="C6" t="s">
        <v>104</v>
      </c>
      <c r="D6">
        <v>30814</v>
      </c>
      <c r="E6" t="s">
        <v>49</v>
      </c>
      <c r="F6" t="s">
        <v>50</v>
      </c>
      <c r="G6" t="s">
        <v>126</v>
      </c>
      <c r="H6">
        <v>1</v>
      </c>
      <c r="I6" t="s">
        <v>1</v>
      </c>
      <c r="J6" t="s">
        <v>40</v>
      </c>
      <c r="K6">
        <v>2025</v>
      </c>
      <c r="L6">
        <v>6</v>
      </c>
      <c r="M6" t="s">
        <v>42</v>
      </c>
      <c r="N6" t="s">
        <v>1</v>
      </c>
    </row>
    <row r="7" spans="1:14" x14ac:dyDescent="0.25">
      <c r="A7" t="s">
        <v>6</v>
      </c>
      <c r="B7" t="s">
        <v>79</v>
      </c>
      <c r="C7" t="s">
        <v>105</v>
      </c>
      <c r="D7">
        <v>25720</v>
      </c>
      <c r="E7" t="s">
        <v>51</v>
      </c>
      <c r="F7" t="s">
        <v>50</v>
      </c>
      <c r="G7" t="s">
        <v>126</v>
      </c>
      <c r="H7">
        <v>2</v>
      </c>
      <c r="I7" t="s">
        <v>1</v>
      </c>
      <c r="J7" t="s">
        <v>40</v>
      </c>
      <c r="K7">
        <v>2025</v>
      </c>
      <c r="L7">
        <v>7</v>
      </c>
      <c r="M7" t="s">
        <v>43</v>
      </c>
      <c r="N7" t="s">
        <v>1</v>
      </c>
    </row>
    <row r="8" spans="1:14" x14ac:dyDescent="0.25">
      <c r="A8" t="s">
        <v>7</v>
      </c>
      <c r="B8" t="s">
        <v>80</v>
      </c>
      <c r="C8" t="s">
        <v>58</v>
      </c>
      <c r="D8">
        <v>25720</v>
      </c>
      <c r="E8" t="s">
        <v>49</v>
      </c>
      <c r="F8" t="s">
        <v>50</v>
      </c>
      <c r="G8" t="s">
        <v>125</v>
      </c>
      <c r="H8">
        <v>3</v>
      </c>
      <c r="I8" t="s">
        <v>8</v>
      </c>
      <c r="J8" t="s">
        <v>40</v>
      </c>
      <c r="K8">
        <v>2025</v>
      </c>
      <c r="L8">
        <v>8</v>
      </c>
      <c r="M8" t="s">
        <v>43</v>
      </c>
      <c r="N8" t="s">
        <v>8</v>
      </c>
    </row>
    <row r="9" spans="1:14" x14ac:dyDescent="0.25">
      <c r="A9" t="s">
        <v>9</v>
      </c>
      <c r="B9" t="s">
        <v>81</v>
      </c>
      <c r="C9" t="s">
        <v>59</v>
      </c>
      <c r="D9">
        <v>25574</v>
      </c>
      <c r="E9" t="s">
        <v>51</v>
      </c>
      <c r="F9" t="s">
        <v>50</v>
      </c>
      <c r="G9" t="s">
        <v>126</v>
      </c>
      <c r="H9">
        <v>4</v>
      </c>
      <c r="I9" t="s">
        <v>1</v>
      </c>
      <c r="J9" t="s">
        <v>40</v>
      </c>
      <c r="K9">
        <v>2025</v>
      </c>
      <c r="L9">
        <v>9</v>
      </c>
      <c r="M9" t="s">
        <v>43</v>
      </c>
      <c r="N9" t="s">
        <v>1</v>
      </c>
    </row>
    <row r="10" spans="1:14" x14ac:dyDescent="0.25">
      <c r="A10" t="s">
        <v>10</v>
      </c>
      <c r="B10" t="s">
        <v>60</v>
      </c>
      <c r="C10" t="s">
        <v>106</v>
      </c>
      <c r="D10">
        <v>30814</v>
      </c>
      <c r="E10" t="s">
        <v>49</v>
      </c>
      <c r="F10" t="s">
        <v>124</v>
      </c>
      <c r="G10" t="s">
        <v>125</v>
      </c>
      <c r="H10">
        <v>5</v>
      </c>
      <c r="I10" t="s">
        <v>1</v>
      </c>
      <c r="J10" t="s">
        <v>40</v>
      </c>
      <c r="K10">
        <v>2025</v>
      </c>
      <c r="L10">
        <v>10</v>
      </c>
      <c r="M10" t="s">
        <v>42</v>
      </c>
      <c r="N10" t="s">
        <v>1</v>
      </c>
    </row>
    <row r="11" spans="1:14" x14ac:dyDescent="0.25">
      <c r="A11" t="s">
        <v>11</v>
      </c>
      <c r="B11" t="s">
        <v>61</v>
      </c>
      <c r="C11" t="s">
        <v>107</v>
      </c>
      <c r="D11">
        <v>33200</v>
      </c>
      <c r="E11" t="s">
        <v>51</v>
      </c>
      <c r="F11" t="s">
        <v>124</v>
      </c>
      <c r="G11" t="s">
        <v>125</v>
      </c>
      <c r="H11">
        <v>1</v>
      </c>
      <c r="I11" t="s">
        <v>1</v>
      </c>
      <c r="J11" t="s">
        <v>40</v>
      </c>
      <c r="K11">
        <v>2025</v>
      </c>
      <c r="L11">
        <v>11</v>
      </c>
      <c r="M11" t="s">
        <v>43</v>
      </c>
      <c r="N11" t="s">
        <v>1</v>
      </c>
    </row>
    <row r="12" spans="1:14" x14ac:dyDescent="0.25">
      <c r="A12" t="s">
        <v>12</v>
      </c>
      <c r="B12" t="s">
        <v>82</v>
      </c>
      <c r="C12" t="s">
        <v>62</v>
      </c>
      <c r="D12">
        <v>33200</v>
      </c>
      <c r="E12" t="s">
        <v>51</v>
      </c>
      <c r="F12" t="s">
        <v>50</v>
      </c>
      <c r="G12" t="s">
        <v>126</v>
      </c>
      <c r="H12">
        <v>2</v>
      </c>
      <c r="I12" t="s">
        <v>1</v>
      </c>
      <c r="J12" t="s">
        <v>40</v>
      </c>
      <c r="K12">
        <v>2025</v>
      </c>
      <c r="L12">
        <v>12</v>
      </c>
      <c r="M12" t="s">
        <v>43</v>
      </c>
      <c r="N12" t="s">
        <v>1</v>
      </c>
    </row>
    <row r="13" spans="1:14" x14ac:dyDescent="0.25">
      <c r="A13" t="s">
        <v>13</v>
      </c>
      <c r="B13" t="s">
        <v>83</v>
      </c>
      <c r="C13" t="s">
        <v>108</v>
      </c>
      <c r="D13">
        <v>30814</v>
      </c>
      <c r="E13" t="s">
        <v>49</v>
      </c>
      <c r="F13" t="s">
        <v>50</v>
      </c>
      <c r="G13" t="s">
        <v>126</v>
      </c>
      <c r="H13">
        <v>3</v>
      </c>
      <c r="I13" t="s">
        <v>1</v>
      </c>
      <c r="J13" t="s">
        <v>40</v>
      </c>
      <c r="K13">
        <v>2025</v>
      </c>
      <c r="L13">
        <v>1</v>
      </c>
      <c r="M13" t="s">
        <v>43</v>
      </c>
      <c r="N13" t="s">
        <v>1</v>
      </c>
    </row>
    <row r="14" spans="1:14" x14ac:dyDescent="0.25">
      <c r="A14" t="s">
        <v>14</v>
      </c>
      <c r="B14" t="s">
        <v>63</v>
      </c>
      <c r="C14" t="s">
        <v>109</v>
      </c>
      <c r="D14">
        <v>25720</v>
      </c>
      <c r="E14" t="s">
        <v>49</v>
      </c>
      <c r="F14" t="s">
        <v>50</v>
      </c>
      <c r="G14" t="s">
        <v>125</v>
      </c>
      <c r="H14">
        <v>4</v>
      </c>
      <c r="I14" t="s">
        <v>1</v>
      </c>
      <c r="J14" t="s">
        <v>40</v>
      </c>
      <c r="K14">
        <v>2025</v>
      </c>
      <c r="L14">
        <v>2</v>
      </c>
      <c r="M14" t="s">
        <v>42</v>
      </c>
      <c r="N14" t="s">
        <v>8</v>
      </c>
    </row>
    <row r="15" spans="1:14" x14ac:dyDescent="0.25">
      <c r="A15" t="s">
        <v>15</v>
      </c>
      <c r="B15" t="s">
        <v>84</v>
      </c>
      <c r="C15" t="s">
        <v>110</v>
      </c>
      <c r="D15">
        <v>25720</v>
      </c>
      <c r="E15" t="s">
        <v>51</v>
      </c>
      <c r="F15" t="s">
        <v>50</v>
      </c>
      <c r="G15" t="s">
        <v>125</v>
      </c>
      <c r="H15">
        <v>5</v>
      </c>
      <c r="I15" t="s">
        <v>8</v>
      </c>
      <c r="J15" t="s">
        <v>40</v>
      </c>
      <c r="K15">
        <v>2025</v>
      </c>
      <c r="L15">
        <v>3</v>
      </c>
      <c r="M15" t="s">
        <v>43</v>
      </c>
      <c r="N15" t="s">
        <v>1</v>
      </c>
    </row>
    <row r="16" spans="1:14" x14ac:dyDescent="0.25">
      <c r="A16" t="s">
        <v>16</v>
      </c>
      <c r="B16" t="s">
        <v>85</v>
      </c>
      <c r="C16" t="s">
        <v>64</v>
      </c>
      <c r="D16">
        <v>25720</v>
      </c>
      <c r="E16" t="s">
        <v>49</v>
      </c>
      <c r="F16" t="s">
        <v>124</v>
      </c>
      <c r="G16" t="s">
        <v>126</v>
      </c>
      <c r="H16">
        <v>1</v>
      </c>
      <c r="I16" t="s">
        <v>1</v>
      </c>
      <c r="J16" t="s">
        <v>40</v>
      </c>
      <c r="K16">
        <v>2025</v>
      </c>
      <c r="L16">
        <v>4</v>
      </c>
      <c r="M16" t="s">
        <v>43</v>
      </c>
      <c r="N16" t="s">
        <v>1</v>
      </c>
    </row>
    <row r="17" spans="1:14" x14ac:dyDescent="0.25">
      <c r="A17" t="s">
        <v>17</v>
      </c>
      <c r="B17" t="s">
        <v>86</v>
      </c>
      <c r="C17" t="s">
        <v>65</v>
      </c>
      <c r="D17">
        <v>25720</v>
      </c>
      <c r="E17" t="s">
        <v>49</v>
      </c>
      <c r="F17" t="s">
        <v>124</v>
      </c>
      <c r="G17" t="s">
        <v>126</v>
      </c>
      <c r="H17">
        <v>2</v>
      </c>
      <c r="I17" t="s">
        <v>1</v>
      </c>
      <c r="J17" t="s">
        <v>40</v>
      </c>
      <c r="K17">
        <v>2025</v>
      </c>
      <c r="L17">
        <v>5</v>
      </c>
      <c r="M17" t="s">
        <v>43</v>
      </c>
      <c r="N17" t="s">
        <v>1</v>
      </c>
    </row>
    <row r="18" spans="1:14" x14ac:dyDescent="0.25">
      <c r="A18" t="s">
        <v>18</v>
      </c>
      <c r="B18" t="s">
        <v>87</v>
      </c>
      <c r="C18" t="s">
        <v>111</v>
      </c>
      <c r="D18">
        <v>25720</v>
      </c>
      <c r="E18" t="s">
        <v>51</v>
      </c>
      <c r="F18" t="s">
        <v>50</v>
      </c>
      <c r="G18" t="s">
        <v>125</v>
      </c>
      <c r="H18">
        <v>3</v>
      </c>
      <c r="I18" t="s">
        <v>1</v>
      </c>
      <c r="J18" t="s">
        <v>40</v>
      </c>
      <c r="K18">
        <v>2025</v>
      </c>
      <c r="L18">
        <v>6</v>
      </c>
      <c r="M18" t="s">
        <v>42</v>
      </c>
      <c r="N18" t="s">
        <v>1</v>
      </c>
    </row>
    <row r="19" spans="1:14" x14ac:dyDescent="0.25">
      <c r="A19" t="s">
        <v>19</v>
      </c>
      <c r="B19" t="s">
        <v>88</v>
      </c>
      <c r="C19" t="s">
        <v>112</v>
      </c>
      <c r="D19">
        <v>33200</v>
      </c>
      <c r="E19" t="s">
        <v>49</v>
      </c>
      <c r="F19" t="s">
        <v>50</v>
      </c>
      <c r="G19" t="s">
        <v>125</v>
      </c>
      <c r="H19">
        <v>4</v>
      </c>
      <c r="I19" t="s">
        <v>1</v>
      </c>
      <c r="J19" t="s">
        <v>40</v>
      </c>
      <c r="K19">
        <v>2025</v>
      </c>
      <c r="L19">
        <v>7</v>
      </c>
      <c r="M19" t="s">
        <v>43</v>
      </c>
      <c r="N19" t="s">
        <v>1</v>
      </c>
    </row>
    <row r="20" spans="1:14" x14ac:dyDescent="0.25">
      <c r="A20" t="s">
        <v>20</v>
      </c>
      <c r="B20" t="s">
        <v>89</v>
      </c>
      <c r="C20" t="s">
        <v>66</v>
      </c>
      <c r="D20">
        <v>25720</v>
      </c>
      <c r="E20" t="s">
        <v>49</v>
      </c>
      <c r="F20" t="s">
        <v>50</v>
      </c>
      <c r="G20" t="s">
        <v>126</v>
      </c>
      <c r="H20">
        <v>5</v>
      </c>
      <c r="I20" t="s">
        <v>1</v>
      </c>
      <c r="J20" t="s">
        <v>40</v>
      </c>
      <c r="K20">
        <v>2025</v>
      </c>
      <c r="L20">
        <v>8</v>
      </c>
      <c r="M20" t="s">
        <v>43</v>
      </c>
      <c r="N20" t="s">
        <v>8</v>
      </c>
    </row>
    <row r="21" spans="1:14" x14ac:dyDescent="0.25">
      <c r="A21" t="s">
        <v>21</v>
      </c>
      <c r="B21" t="s">
        <v>90</v>
      </c>
      <c r="C21" t="s">
        <v>67</v>
      </c>
      <c r="D21">
        <v>33200</v>
      </c>
      <c r="E21" t="s">
        <v>49</v>
      </c>
      <c r="F21" t="s">
        <v>50</v>
      </c>
      <c r="G21" t="s">
        <v>125</v>
      </c>
      <c r="H21">
        <v>1</v>
      </c>
      <c r="I21" t="s">
        <v>1</v>
      </c>
      <c r="J21" t="s">
        <v>40</v>
      </c>
      <c r="K21">
        <v>2025</v>
      </c>
      <c r="L21">
        <v>9</v>
      </c>
      <c r="M21" t="s">
        <v>43</v>
      </c>
      <c r="N21" t="s">
        <v>1</v>
      </c>
    </row>
    <row r="22" spans="1:14" x14ac:dyDescent="0.25">
      <c r="A22" t="s">
        <v>22</v>
      </c>
      <c r="B22" t="s">
        <v>91</v>
      </c>
      <c r="C22" t="s">
        <v>113</v>
      </c>
      <c r="D22">
        <v>30814</v>
      </c>
      <c r="E22" t="s">
        <v>51</v>
      </c>
      <c r="F22" t="s">
        <v>50</v>
      </c>
      <c r="G22" t="s">
        <v>126</v>
      </c>
      <c r="H22">
        <v>2</v>
      </c>
      <c r="I22" t="s">
        <v>8</v>
      </c>
      <c r="J22" t="s">
        <v>40</v>
      </c>
      <c r="K22">
        <v>2025</v>
      </c>
      <c r="L22">
        <v>10</v>
      </c>
      <c r="M22" t="s">
        <v>42</v>
      </c>
      <c r="N22" t="s">
        <v>1</v>
      </c>
    </row>
    <row r="23" spans="1:14" x14ac:dyDescent="0.25">
      <c r="A23" t="s">
        <v>23</v>
      </c>
      <c r="B23" t="s">
        <v>92</v>
      </c>
      <c r="C23" t="s">
        <v>114</v>
      </c>
      <c r="D23">
        <v>30814</v>
      </c>
      <c r="E23" t="s">
        <v>49</v>
      </c>
      <c r="F23" t="s">
        <v>50</v>
      </c>
      <c r="G23" t="s">
        <v>125</v>
      </c>
      <c r="H23">
        <v>3</v>
      </c>
      <c r="I23" t="s">
        <v>1</v>
      </c>
      <c r="J23" t="s">
        <v>40</v>
      </c>
      <c r="K23">
        <v>2025</v>
      </c>
      <c r="L23">
        <v>11</v>
      </c>
      <c r="M23" t="s">
        <v>43</v>
      </c>
      <c r="N23" t="s">
        <v>1</v>
      </c>
    </row>
    <row r="24" spans="1:14" x14ac:dyDescent="0.25">
      <c r="A24" t="s">
        <v>24</v>
      </c>
      <c r="B24" t="s">
        <v>68</v>
      </c>
      <c r="C24" t="s">
        <v>115</v>
      </c>
      <c r="D24">
        <v>25720</v>
      </c>
      <c r="E24" t="s">
        <v>49</v>
      </c>
      <c r="F24" t="s">
        <v>124</v>
      </c>
      <c r="G24" t="s">
        <v>126</v>
      </c>
      <c r="H24">
        <v>4</v>
      </c>
      <c r="I24" t="s">
        <v>1</v>
      </c>
      <c r="J24" t="s">
        <v>40</v>
      </c>
      <c r="K24">
        <v>2025</v>
      </c>
      <c r="L24">
        <v>12</v>
      </c>
      <c r="M24" t="s">
        <v>43</v>
      </c>
      <c r="N24" t="s">
        <v>1</v>
      </c>
    </row>
    <row r="25" spans="1:14" x14ac:dyDescent="0.25">
      <c r="A25" t="s">
        <v>25</v>
      </c>
      <c r="B25" t="s">
        <v>69</v>
      </c>
      <c r="C25" t="s">
        <v>116</v>
      </c>
      <c r="D25">
        <v>30814</v>
      </c>
      <c r="E25" t="s">
        <v>51</v>
      </c>
      <c r="F25" t="s">
        <v>124</v>
      </c>
      <c r="G25" t="s">
        <v>126</v>
      </c>
      <c r="H25">
        <v>5</v>
      </c>
      <c r="I25" t="s">
        <v>1</v>
      </c>
      <c r="J25" t="s">
        <v>40</v>
      </c>
      <c r="K25">
        <v>2025</v>
      </c>
      <c r="L25">
        <v>1</v>
      </c>
      <c r="M25" t="s">
        <v>43</v>
      </c>
      <c r="N25" t="s">
        <v>1</v>
      </c>
    </row>
    <row r="26" spans="1:14" x14ac:dyDescent="0.25">
      <c r="A26" t="s">
        <v>26</v>
      </c>
      <c r="B26" t="s">
        <v>93</v>
      </c>
      <c r="C26" t="s">
        <v>117</v>
      </c>
      <c r="D26">
        <v>33200</v>
      </c>
      <c r="E26" t="s">
        <v>49</v>
      </c>
      <c r="F26" t="s">
        <v>50</v>
      </c>
      <c r="G26" t="s">
        <v>126</v>
      </c>
      <c r="H26">
        <v>1</v>
      </c>
      <c r="I26" t="s">
        <v>1</v>
      </c>
      <c r="J26" t="s">
        <v>40</v>
      </c>
      <c r="K26">
        <v>2025</v>
      </c>
      <c r="L26">
        <v>2</v>
      </c>
      <c r="M26" t="s">
        <v>42</v>
      </c>
      <c r="N26" t="s">
        <v>8</v>
      </c>
    </row>
    <row r="27" spans="1:14" x14ac:dyDescent="0.25">
      <c r="A27" t="s">
        <v>27</v>
      </c>
      <c r="B27" t="s">
        <v>94</v>
      </c>
      <c r="C27" t="s">
        <v>118</v>
      </c>
      <c r="D27">
        <v>30814</v>
      </c>
      <c r="E27" t="s">
        <v>51</v>
      </c>
      <c r="F27" t="s">
        <v>50</v>
      </c>
      <c r="G27" t="s">
        <v>126</v>
      </c>
      <c r="H27">
        <v>2</v>
      </c>
      <c r="I27" t="s">
        <v>1</v>
      </c>
      <c r="J27" t="s">
        <v>40</v>
      </c>
      <c r="K27">
        <v>2025</v>
      </c>
      <c r="L27">
        <v>3</v>
      </c>
      <c r="M27" t="s">
        <v>43</v>
      </c>
      <c r="N27" t="s">
        <v>1</v>
      </c>
    </row>
    <row r="28" spans="1:14" x14ac:dyDescent="0.25">
      <c r="A28" t="s">
        <v>28</v>
      </c>
      <c r="B28" t="s">
        <v>70</v>
      </c>
      <c r="C28" t="s">
        <v>119</v>
      </c>
      <c r="D28">
        <v>25574</v>
      </c>
      <c r="E28" t="s">
        <v>51</v>
      </c>
      <c r="F28" t="s">
        <v>50</v>
      </c>
      <c r="G28" t="s">
        <v>125</v>
      </c>
      <c r="H28">
        <v>3</v>
      </c>
      <c r="I28" t="s">
        <v>1</v>
      </c>
      <c r="J28" t="s">
        <v>40</v>
      </c>
      <c r="K28">
        <v>2025</v>
      </c>
      <c r="L28">
        <v>4</v>
      </c>
      <c r="M28" t="s">
        <v>43</v>
      </c>
      <c r="N28" t="s">
        <v>1</v>
      </c>
    </row>
    <row r="29" spans="1:14" x14ac:dyDescent="0.25">
      <c r="A29" t="s">
        <v>29</v>
      </c>
      <c r="B29" t="s">
        <v>71</v>
      </c>
      <c r="C29" t="s">
        <v>120</v>
      </c>
      <c r="D29">
        <v>30814</v>
      </c>
      <c r="E29" t="s">
        <v>49</v>
      </c>
      <c r="F29" t="s">
        <v>50</v>
      </c>
      <c r="G29" t="s">
        <v>125</v>
      </c>
      <c r="H29">
        <v>4</v>
      </c>
      <c r="I29" t="s">
        <v>8</v>
      </c>
      <c r="J29" t="s">
        <v>40</v>
      </c>
      <c r="K29">
        <v>2025</v>
      </c>
      <c r="L29">
        <v>5</v>
      </c>
      <c r="M29" t="s">
        <v>43</v>
      </c>
      <c r="N29" t="s">
        <v>1</v>
      </c>
    </row>
    <row r="30" spans="1:14" x14ac:dyDescent="0.25">
      <c r="A30" t="s">
        <v>30</v>
      </c>
      <c r="B30" t="s">
        <v>95</v>
      </c>
      <c r="C30" t="s">
        <v>121</v>
      </c>
      <c r="D30">
        <v>30814</v>
      </c>
      <c r="E30" t="s">
        <v>49</v>
      </c>
      <c r="F30" t="s">
        <v>124</v>
      </c>
      <c r="G30" t="s">
        <v>126</v>
      </c>
      <c r="H30">
        <v>5</v>
      </c>
      <c r="I30" t="s">
        <v>1</v>
      </c>
      <c r="J30" t="s">
        <v>40</v>
      </c>
      <c r="K30">
        <v>2025</v>
      </c>
      <c r="L30">
        <v>6</v>
      </c>
      <c r="M30" t="s">
        <v>42</v>
      </c>
      <c r="N30" t="s">
        <v>1</v>
      </c>
    </row>
    <row r="31" spans="1:14" x14ac:dyDescent="0.25">
      <c r="A31" t="s">
        <v>31</v>
      </c>
      <c r="B31" t="s">
        <v>96</v>
      </c>
      <c r="C31" t="s">
        <v>72</v>
      </c>
      <c r="D31">
        <v>30814</v>
      </c>
      <c r="E31" t="s">
        <v>51</v>
      </c>
      <c r="F31" t="s">
        <v>124</v>
      </c>
      <c r="G31" t="s">
        <v>125</v>
      </c>
      <c r="H31">
        <v>1</v>
      </c>
      <c r="I31" t="s">
        <v>1</v>
      </c>
      <c r="J31" t="s">
        <v>40</v>
      </c>
      <c r="K31">
        <v>2025</v>
      </c>
      <c r="L31">
        <v>7</v>
      </c>
      <c r="M31" t="s">
        <v>43</v>
      </c>
      <c r="N31" t="s">
        <v>1</v>
      </c>
    </row>
    <row r="32" spans="1:14" x14ac:dyDescent="0.25">
      <c r="A32" t="s">
        <v>32</v>
      </c>
      <c r="B32" t="s">
        <v>73</v>
      </c>
      <c r="C32" t="s">
        <v>122</v>
      </c>
      <c r="D32">
        <v>33200</v>
      </c>
      <c r="E32" t="s">
        <v>49</v>
      </c>
      <c r="F32" t="s">
        <v>50</v>
      </c>
      <c r="G32" t="s">
        <v>125</v>
      </c>
      <c r="H32">
        <v>2</v>
      </c>
      <c r="I32" t="s">
        <v>1</v>
      </c>
      <c r="J32" t="s">
        <v>40</v>
      </c>
      <c r="K32">
        <v>2025</v>
      </c>
      <c r="L32">
        <v>8</v>
      </c>
      <c r="M32" t="s">
        <v>43</v>
      </c>
      <c r="N32" t="s">
        <v>8</v>
      </c>
    </row>
    <row r="33" spans="1:14" x14ac:dyDescent="0.25">
      <c r="A33" t="s">
        <v>33</v>
      </c>
      <c r="B33" t="s">
        <v>97</v>
      </c>
      <c r="C33" t="s">
        <v>74</v>
      </c>
      <c r="D33">
        <v>25720</v>
      </c>
      <c r="E33" t="s">
        <v>51</v>
      </c>
      <c r="F33" t="s">
        <v>124</v>
      </c>
      <c r="G33" t="s">
        <v>126</v>
      </c>
      <c r="H33">
        <v>3</v>
      </c>
      <c r="I33" t="s">
        <v>1</v>
      </c>
      <c r="J33" t="s">
        <v>40</v>
      </c>
      <c r="K33">
        <v>2025</v>
      </c>
      <c r="L33">
        <v>9</v>
      </c>
      <c r="M33" t="s">
        <v>43</v>
      </c>
      <c r="N33" t="s">
        <v>1</v>
      </c>
    </row>
    <row r="34" spans="1:14" x14ac:dyDescent="0.25">
      <c r="A34" t="s">
        <v>34</v>
      </c>
      <c r="B34" t="s">
        <v>75</v>
      </c>
      <c r="C34" t="s">
        <v>123</v>
      </c>
      <c r="D34">
        <v>30814</v>
      </c>
      <c r="E34" t="s">
        <v>51</v>
      </c>
      <c r="F34" t="s">
        <v>124</v>
      </c>
      <c r="G34" t="s">
        <v>125</v>
      </c>
      <c r="H34">
        <v>4</v>
      </c>
      <c r="I34" t="s">
        <v>1</v>
      </c>
      <c r="J34" t="s">
        <v>40</v>
      </c>
      <c r="K34">
        <v>2025</v>
      </c>
      <c r="L34">
        <v>10</v>
      </c>
      <c r="M34" t="s">
        <v>42</v>
      </c>
      <c r="N34" t="s">
        <v>1</v>
      </c>
    </row>
    <row r="35" spans="1:14" x14ac:dyDescent="0.25">
      <c r="A35" t="s">
        <v>35</v>
      </c>
      <c r="B35" t="s">
        <v>98</v>
      </c>
      <c r="C35" t="s">
        <v>76</v>
      </c>
      <c r="D35">
        <v>30814</v>
      </c>
      <c r="E35" t="s">
        <v>51</v>
      </c>
      <c r="F35" t="s">
        <v>124</v>
      </c>
      <c r="G35" t="s">
        <v>126</v>
      </c>
      <c r="H35">
        <v>5</v>
      </c>
      <c r="I35" t="s">
        <v>1</v>
      </c>
      <c r="J35" t="s">
        <v>40</v>
      </c>
      <c r="K35">
        <v>2025</v>
      </c>
      <c r="L35">
        <v>11</v>
      </c>
      <c r="M35" t="s">
        <v>43</v>
      </c>
      <c r="N35" t="s">
        <v>1</v>
      </c>
    </row>
    <row r="36" spans="1:14" x14ac:dyDescent="0.25">
      <c r="A36" t="s">
        <v>36</v>
      </c>
      <c r="B36" t="s">
        <v>99</v>
      </c>
      <c r="C36" t="s">
        <v>77</v>
      </c>
      <c r="D36">
        <v>25720</v>
      </c>
      <c r="E36" t="s">
        <v>49</v>
      </c>
      <c r="F36" t="s">
        <v>124</v>
      </c>
      <c r="G36" t="s">
        <v>125</v>
      </c>
      <c r="H36">
        <v>1</v>
      </c>
      <c r="I36" t="s">
        <v>8</v>
      </c>
      <c r="J36" t="s">
        <v>40</v>
      </c>
      <c r="K36">
        <v>2025</v>
      </c>
      <c r="L36">
        <v>12</v>
      </c>
      <c r="M36" t="s">
        <v>43</v>
      </c>
      <c r="N36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65A-E33E-44CF-9672-9DAA4AFCA8CD}">
  <dimension ref="A3"/>
  <sheetViews>
    <sheetView workbookViewId="0">
      <selection activeCell="B37" sqref="B37"/>
    </sheetView>
  </sheetViews>
  <sheetFormatPr defaultRowHeight="15" x14ac:dyDescent="0.25"/>
  <sheetData>
    <row r="3" spans="1:1" x14ac:dyDescent="0.25">
      <c r="A3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7BB8C-106D-4959-BFA4-1280A53012C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Level 1</vt:lpstr>
      <vt:lpstr>Sheet3</vt:lpstr>
      <vt:lpstr>Level 2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2025-12-18T09:06:51Z</dcterms:created>
  <dcterms:modified xsi:type="dcterms:W3CDTF">2025-12-22T10:00:04Z</dcterms:modified>
</cp:coreProperties>
</file>